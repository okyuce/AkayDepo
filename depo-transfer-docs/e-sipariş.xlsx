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yk\Desktop\"/>
    </mc:Choice>
  </mc:AlternateContent>
  <xr:revisionPtr revIDLastSave="0" documentId="13_ncr:1_{0B34A93D-3471-4A55-8566-00E0A99E3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ipe2" sheetId="1" r:id="rId1"/>
    <sheet name="Hazırlık" sheetId="2" r:id="rId2"/>
    <sheet name="Sipariş Yazdır" sheetId="3" r:id="rId3"/>
    <sheet name="Recip1" sheetId="4" r:id="rId4"/>
  </sheets>
  <definedNames>
    <definedName name="_xlnm._FilterDatabase" localSheetId="0" hidden="1">Recipe2!$A$1:$M$533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3" l="1"/>
  <c r="J40" i="3"/>
  <c r="E40" i="3"/>
  <c r="D40" i="3"/>
  <c r="E19" i="3"/>
  <c r="D19" i="3"/>
  <c r="C6" i="3"/>
  <c r="C4" i="3"/>
  <c r="K40" i="2" l="1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39" i="2"/>
  <c r="K31" i="2"/>
  <c r="S31" i="2" s="1"/>
  <c r="K30" i="2"/>
  <c r="S30" i="2" s="1"/>
  <c r="K29" i="2"/>
  <c r="S29" i="2" s="1"/>
  <c r="K28" i="2"/>
  <c r="S28" i="2" s="1"/>
  <c r="K27" i="2"/>
  <c r="S27" i="2" s="1"/>
  <c r="K26" i="2"/>
  <c r="S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S20" i="2" s="1"/>
  <c r="K19" i="2"/>
  <c r="S19" i="2" s="1"/>
  <c r="K18" i="2"/>
  <c r="S18" i="2" s="1"/>
  <c r="K17" i="2"/>
  <c r="S17" i="2" s="1"/>
  <c r="K16" i="2"/>
  <c r="S16" i="2" s="1"/>
  <c r="K15" i="2"/>
  <c r="S15" i="2" s="1"/>
  <c r="K14" i="2"/>
  <c r="S14" i="2" s="1"/>
  <c r="K13" i="2"/>
  <c r="S13" i="2" s="1"/>
  <c r="K12" i="2"/>
  <c r="S12" i="2" s="1"/>
  <c r="K11" i="2"/>
  <c r="S11" i="2" s="1"/>
  <c r="K10" i="2"/>
  <c r="S10" i="2" s="1"/>
  <c r="K9" i="2"/>
  <c r="S9" i="2" s="1"/>
  <c r="K8" i="2"/>
  <c r="S8" i="2" s="1"/>
  <c r="K7" i="2"/>
  <c r="S7" i="2" s="1"/>
  <c r="K6" i="2"/>
  <c r="S6" i="2" s="1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39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R15" i="2" s="1"/>
  <c r="H16" i="2"/>
  <c r="I16" i="2"/>
  <c r="J16" i="2"/>
  <c r="H17" i="2"/>
  <c r="I17" i="2"/>
  <c r="J17" i="2"/>
  <c r="H18" i="2"/>
  <c r="I18" i="2"/>
  <c r="J18" i="2"/>
  <c r="H19" i="2"/>
  <c r="I19" i="2"/>
  <c r="J19" i="2"/>
  <c r="R19" i="2" s="1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R27" i="2" s="1"/>
  <c r="H28" i="2"/>
  <c r="I28" i="2"/>
  <c r="J28" i="2"/>
  <c r="H29" i="2"/>
  <c r="I29" i="2"/>
  <c r="J29" i="2"/>
  <c r="H30" i="2"/>
  <c r="I30" i="2"/>
  <c r="J30" i="2"/>
  <c r="H31" i="2"/>
  <c r="I31" i="2"/>
  <c r="J31" i="2"/>
  <c r="R31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6" i="2"/>
  <c r="R22" i="2" l="1"/>
  <c r="R10" i="2"/>
  <c r="R7" i="2"/>
  <c r="R21" i="2"/>
  <c r="Q25" i="2"/>
  <c r="Q21" i="2"/>
  <c r="Q13" i="2"/>
  <c r="Q9" i="2"/>
  <c r="R20" i="2"/>
  <c r="R25" i="2"/>
  <c r="R9" i="2"/>
  <c r="Q29" i="2"/>
  <c r="Q17" i="2"/>
  <c r="R28" i="2"/>
  <c r="R30" i="2"/>
  <c r="R18" i="2"/>
  <c r="R6" i="2"/>
  <c r="R16" i="2"/>
  <c r="R29" i="2"/>
  <c r="R17" i="2"/>
  <c r="P30" i="2"/>
  <c r="P18" i="2"/>
  <c r="Q7" i="2"/>
  <c r="P9" i="2"/>
  <c r="Q20" i="2"/>
  <c r="Q16" i="2"/>
  <c r="Q12" i="2"/>
  <c r="Q8" i="2"/>
  <c r="L20" i="2"/>
  <c r="R12" i="2"/>
  <c r="Q28" i="2"/>
  <c r="L46" i="2"/>
  <c r="Q24" i="2"/>
  <c r="Q15" i="2"/>
  <c r="L58" i="2"/>
  <c r="R24" i="2"/>
  <c r="L13" i="2"/>
  <c r="P6" i="2"/>
  <c r="R13" i="2"/>
  <c r="P25" i="2"/>
  <c r="P17" i="2"/>
  <c r="P29" i="2"/>
  <c r="P13" i="2"/>
  <c r="P24" i="2"/>
  <c r="P12" i="2"/>
  <c r="R23" i="2"/>
  <c r="R11" i="2"/>
  <c r="L45" i="2"/>
  <c r="Q11" i="2"/>
  <c r="Q14" i="2"/>
  <c r="P28" i="2"/>
  <c r="P20" i="2"/>
  <c r="P16" i="2"/>
  <c r="P8" i="2"/>
  <c r="L17" i="2"/>
  <c r="Q27" i="2"/>
  <c r="Q19" i="2"/>
  <c r="L59" i="2"/>
  <c r="L47" i="2"/>
  <c r="Q31" i="2"/>
  <c r="Q23" i="2"/>
  <c r="L28" i="2"/>
  <c r="L16" i="2"/>
  <c r="P27" i="2"/>
  <c r="P23" i="2"/>
  <c r="P19" i="2"/>
  <c r="P15" i="2"/>
  <c r="P11" i="2"/>
  <c r="P7" i="2"/>
  <c r="L57" i="2"/>
  <c r="L29" i="2"/>
  <c r="Q26" i="2"/>
  <c r="R14" i="2"/>
  <c r="L56" i="2"/>
  <c r="L44" i="2"/>
  <c r="Q30" i="2"/>
  <c r="P22" i="2"/>
  <c r="Q18" i="2"/>
  <c r="Q10" i="2"/>
  <c r="Q6" i="2"/>
  <c r="P26" i="2"/>
  <c r="P14" i="2"/>
  <c r="L25" i="2"/>
  <c r="L31" i="2"/>
  <c r="L26" i="2"/>
  <c r="P10" i="2"/>
  <c r="R26" i="2"/>
  <c r="L42" i="2"/>
  <c r="P21" i="2"/>
  <c r="Q22" i="2"/>
  <c r="L55" i="2"/>
  <c r="L54" i="2"/>
  <c r="L39" i="2"/>
  <c r="L64" i="2"/>
  <c r="L52" i="2"/>
  <c r="L40" i="2"/>
  <c r="L61" i="2"/>
  <c r="L53" i="2"/>
  <c r="L49" i="2"/>
  <c r="L41" i="2"/>
  <c r="P31" i="2"/>
  <c r="L14" i="2"/>
  <c r="L43" i="2"/>
  <c r="L12" i="2"/>
  <c r="L23" i="2"/>
  <c r="L21" i="2"/>
  <c r="L51" i="2"/>
  <c r="L60" i="2"/>
  <c r="L48" i="2"/>
  <c r="L15" i="2"/>
  <c r="L24" i="2"/>
  <c r="L11" i="2"/>
  <c r="L22" i="2"/>
  <c r="L10" i="2"/>
  <c r="L63" i="2"/>
  <c r="L9" i="2"/>
  <c r="L8" i="2"/>
  <c r="L62" i="2"/>
  <c r="L50" i="2"/>
  <c r="L19" i="2"/>
  <c r="L6" i="2"/>
  <c r="R8" i="2"/>
  <c r="L7" i="2"/>
  <c r="L27" i="2"/>
  <c r="L30" i="2"/>
  <c r="L18" i="2"/>
  <c r="H65" i="2"/>
  <c r="S32" i="2"/>
  <c r="K65" i="2"/>
  <c r="K32" i="2"/>
  <c r="J65" i="2"/>
  <c r="I65" i="2"/>
  <c r="G65" i="2"/>
  <c r="H32" i="2"/>
  <c r="J32" i="2"/>
  <c r="I32" i="2"/>
  <c r="G32" i="2"/>
  <c r="AF19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5" i="2"/>
  <c r="R32" i="2" l="1"/>
  <c r="Q32" i="2"/>
  <c r="P32" i="2"/>
  <c r="L65" i="2"/>
  <c r="L32" i="2"/>
  <c r="F4" i="2"/>
  <c r="F37" i="2"/>
</calcChain>
</file>

<file path=xl/sharedStrings.xml><?xml version="1.0" encoding="utf-8"?>
<sst xmlns="http://schemas.openxmlformats.org/spreadsheetml/2006/main" count="7720" uniqueCount="393">
  <si>
    <t>Pozisyon</t>
  </si>
  <si>
    <t>Territory</t>
  </si>
  <si>
    <t>SiparişKodu</t>
  </si>
  <si>
    <t>BayiKodu</t>
  </si>
  <si>
    <t>BayiAdı</t>
  </si>
  <si>
    <t>ÜrünKodu</t>
  </si>
  <si>
    <t>ÜrünAdı</t>
  </si>
  <si>
    <t>Paket</t>
  </si>
  <si>
    <t>Karton</t>
  </si>
  <si>
    <t>ÖdemeTipi</t>
  </si>
  <si>
    <t>SiparişTarihi</t>
  </si>
  <si>
    <t>TeslimatTarihi</t>
  </si>
  <si>
    <t>BayiRutSırası</t>
  </si>
  <si>
    <t>D3JDR04</t>
  </si>
  <si>
    <t>TERR030704-Mevlana</t>
  </si>
  <si>
    <t>D3J005692253121</t>
  </si>
  <si>
    <t>D3J005692</t>
  </si>
  <si>
    <t>ENLİ MARKET RÜSTEM ENLİ</t>
  </si>
  <si>
    <t>PLMNRCB</t>
  </si>
  <si>
    <t>PL Midnight Blue RCB</t>
  </si>
  <si>
    <t>VADE</t>
  </si>
  <si>
    <t>06.11.2025 16:54:00</t>
  </si>
  <si>
    <t>07.11.2025 00:00:00</t>
  </si>
  <si>
    <t>LAB100RCB</t>
  </si>
  <si>
    <t>LARK Blue 100 RCB</t>
  </si>
  <si>
    <t>CHNAVYBRCB</t>
  </si>
  <si>
    <t>CH NAVY BLUE RCB</t>
  </si>
  <si>
    <t>LARKBRCB</t>
  </si>
  <si>
    <t>LARK Blue Rec RCB</t>
  </si>
  <si>
    <t>MUARCB</t>
  </si>
  <si>
    <t>MUA Rosso KS RCB</t>
  </si>
  <si>
    <t>LM100RCB</t>
  </si>
  <si>
    <t>L&amp;M Red 100 RCB</t>
  </si>
  <si>
    <t>D3JDR01</t>
  </si>
  <si>
    <t>TERR030701-Bosna-Hersek</t>
  </si>
  <si>
    <t>D3J145174253121</t>
  </si>
  <si>
    <t>D3J145174</t>
  </si>
  <si>
    <t>BURÇAK MARKET-SÜLEYMAN TEKE</t>
  </si>
  <si>
    <t>06.11.2025 16:53:00</t>
  </si>
  <si>
    <t>MLR100</t>
  </si>
  <si>
    <t>MLR 100</t>
  </si>
  <si>
    <t>CHMODENAVY</t>
  </si>
  <si>
    <t>CH MODE NAVY</t>
  </si>
  <si>
    <t>PLLRC</t>
  </si>
  <si>
    <t>PL Aqua B.KS RCB</t>
  </si>
  <si>
    <t>MLEDGE</t>
  </si>
  <si>
    <t>MLR Edge KS RCB</t>
  </si>
  <si>
    <t>LMRCB</t>
  </si>
  <si>
    <t>L&amp;M Red KS RCB</t>
  </si>
  <si>
    <t>PLRSVRCB</t>
  </si>
  <si>
    <t>PL Reserve KS RCB</t>
  </si>
  <si>
    <t>MLTBLUE</t>
  </si>
  <si>
    <t>MLR Touch Blue</t>
  </si>
  <si>
    <t>PLABS100</t>
  </si>
  <si>
    <t>PL Aqua B.Slims 100 RCB</t>
  </si>
  <si>
    <t>CHNB100RCB</t>
  </si>
  <si>
    <t>CH NavyB 100 RCB</t>
  </si>
  <si>
    <t>MUABLU</t>
  </si>
  <si>
    <t>MUA Blu Line KS</t>
  </si>
  <si>
    <t>PL100</t>
  </si>
  <si>
    <t>PL Night 100</t>
  </si>
  <si>
    <t>MFTB</t>
  </si>
  <si>
    <t>MLR KS Box</t>
  </si>
  <si>
    <t>MLTGRAY</t>
  </si>
  <si>
    <t>MLR Touch Gray</t>
  </si>
  <si>
    <t>PLRC</t>
  </si>
  <si>
    <t>PL Night KS RCB</t>
  </si>
  <si>
    <t>MLEDSLIMS</t>
  </si>
  <si>
    <t>MLR Edge Slims 100 RCB</t>
  </si>
  <si>
    <t>PLLONGRCB</t>
  </si>
  <si>
    <t>PL Night Blue Long RCB</t>
  </si>
  <si>
    <t>MLEDBLUE</t>
  </si>
  <si>
    <t>MLR Edge Blue KS RCB</t>
  </si>
  <si>
    <t>D3JDR27</t>
  </si>
  <si>
    <t>TERR030727-Sancak</t>
  </si>
  <si>
    <t>D3J005846253121</t>
  </si>
  <si>
    <t>D3J005846</t>
  </si>
  <si>
    <t>KAHVE KURUYEMİŞ VE TEKEL  MUSTAFA ŞAVKU</t>
  </si>
  <si>
    <t>06.11.2025 16:48:00</t>
  </si>
  <si>
    <t>MLFTB</t>
  </si>
  <si>
    <t>MLR Touch KS Box</t>
  </si>
  <si>
    <t>MLTONE</t>
  </si>
  <si>
    <t>MLR Touch White</t>
  </si>
  <si>
    <t>D3JDR05</t>
  </si>
  <si>
    <t>TERR030705-Meram</t>
  </si>
  <si>
    <t>D3J236140253121</t>
  </si>
  <si>
    <t>D3J236140</t>
  </si>
  <si>
    <t>ÇEREZ OTAĞI BAKKAL-ONUR ÇİMEN</t>
  </si>
  <si>
    <t>06.11.2025 16:45:00</t>
  </si>
  <si>
    <t>D3JDR07</t>
  </si>
  <si>
    <t>TERR030707-Sille</t>
  </si>
  <si>
    <t>D3J004820253121</t>
  </si>
  <si>
    <t>D3J004820</t>
  </si>
  <si>
    <t>BAKKALİYE  HALİL KARABULUT</t>
  </si>
  <si>
    <t>CASH</t>
  </si>
  <si>
    <t>06.11.2025 16:42:00</t>
  </si>
  <si>
    <t>D3JDR08</t>
  </si>
  <si>
    <t>TERR030708-Form</t>
  </si>
  <si>
    <t>D3J005659253121</t>
  </si>
  <si>
    <t>D3J005659</t>
  </si>
  <si>
    <t>BİRLİK GIDA MARKET TEVFİK MIZIRAK</t>
  </si>
  <si>
    <t>HAVALE</t>
  </si>
  <si>
    <t>06.11.2025 16:38:00</t>
  </si>
  <si>
    <t>D3JDR09</t>
  </si>
  <si>
    <t>TERR030709-Şeker-Tekke</t>
  </si>
  <si>
    <t>D3J003309253121</t>
  </si>
  <si>
    <t>D3J003309</t>
  </si>
  <si>
    <t>BAKKALİYE  SEBAHATTİN ERTEN</t>
  </si>
  <si>
    <t>06.11.2025 16:37:00</t>
  </si>
  <si>
    <t>D3J001136253121</t>
  </si>
  <si>
    <t>D3J001136</t>
  </si>
  <si>
    <t>ARDIÇ BAKKAL MEDİHA ARDIÇ</t>
  </si>
  <si>
    <t>D3J132009253121</t>
  </si>
  <si>
    <t>D3J132009</t>
  </si>
  <si>
    <t>TAŞFIRIN KURUYEMİŞ ŞEKERLEME GIDA SAN VE TİC LTD ŞTİ - ADAKALE</t>
  </si>
  <si>
    <t>06.11.2025 16:36:00</t>
  </si>
  <si>
    <t>D3J052894253121</t>
  </si>
  <si>
    <t>D3J052894</t>
  </si>
  <si>
    <t>AKIN SAĞLAM</t>
  </si>
  <si>
    <t>06.11.2025 16:32:00</t>
  </si>
  <si>
    <t>D3JDR13</t>
  </si>
  <si>
    <t>TERR030713-Büsan</t>
  </si>
  <si>
    <t>D3J214375253121</t>
  </si>
  <si>
    <t>D3J214375</t>
  </si>
  <si>
    <t>BAŞAK BÜFE-HAVVA KOÇAK</t>
  </si>
  <si>
    <t>06.11.2025 16:30:00</t>
  </si>
  <si>
    <t>D3J057167253121</t>
  </si>
  <si>
    <t>D3J057167</t>
  </si>
  <si>
    <t>ARZU ÖZER</t>
  </si>
  <si>
    <t>06.11.2025 16:28:00</t>
  </si>
  <si>
    <t>D3J021312253121</t>
  </si>
  <si>
    <t>D3J021312</t>
  </si>
  <si>
    <t>AYDINLIKEVLER BAKKALİYE NURİ AKATA</t>
  </si>
  <si>
    <t>06.11.2025 16:25:00</t>
  </si>
  <si>
    <t>D3J005533253121</t>
  </si>
  <si>
    <t>D3J005533</t>
  </si>
  <si>
    <t>FATİH GIDA-FATİH KAMACI</t>
  </si>
  <si>
    <t>030038221253121</t>
  </si>
  <si>
    <t>030038221</t>
  </si>
  <si>
    <t>BAYIR PETROL ÜRÜNLERİ OTOM.GIDA TİC.VE SAN.A.Ş.</t>
  </si>
  <si>
    <t>06.11.2025 16:23:00</t>
  </si>
  <si>
    <t>D3J004506253121</t>
  </si>
  <si>
    <t>D3J004506</t>
  </si>
  <si>
    <t>CEVİZ GROSS GIDA TOPTAN PER. NAK. TUR. LTD. ŞTİ.</t>
  </si>
  <si>
    <t>06.11.2025 16:11:00</t>
  </si>
  <si>
    <t>D3J130956253121</t>
  </si>
  <si>
    <t>D3J130956</t>
  </si>
  <si>
    <t>COPLAN KURUYEMİŞ-MÜJDAT COPLAN</t>
  </si>
  <si>
    <t>030040038253121</t>
  </si>
  <si>
    <t>030040038</t>
  </si>
  <si>
    <t>ÖZÇETİNKAYA MARKET SEYİT AŞAR</t>
  </si>
  <si>
    <t>06.11.2025 16:10:00</t>
  </si>
  <si>
    <t>D3JDR14</t>
  </si>
  <si>
    <t>TERR030714-Adliye</t>
  </si>
  <si>
    <t>D3J174127253121</t>
  </si>
  <si>
    <t>D3J174127</t>
  </si>
  <si>
    <t>ÖZÇELİKKAYALAR-AKABE</t>
  </si>
  <si>
    <t>D3J077859253121</t>
  </si>
  <si>
    <t>D3J077859</t>
  </si>
  <si>
    <t>KARADİĞİNLER BÜFE MUSA ERDOĞMUŞ</t>
  </si>
  <si>
    <t>06.11.2025 16:06:00</t>
  </si>
  <si>
    <t>D3J005973253121</t>
  </si>
  <si>
    <t>D3J005973</t>
  </si>
  <si>
    <t>TOKDEMİR DAY.TÜK.MAL.GIDA SAN.TİC.LTD.ŞTİ.</t>
  </si>
  <si>
    <t>06.11.2025 16:05:00</t>
  </si>
  <si>
    <t>D3JDR24</t>
  </si>
  <si>
    <t>TERR030724-Yazır</t>
  </si>
  <si>
    <t>D3J226959253121</t>
  </si>
  <si>
    <t>D3J226959</t>
  </si>
  <si>
    <t>AVCAN GAYRİMENKUL OTOMOTİV LİMİTED ŞİRKETİ</t>
  </si>
  <si>
    <t>06.11.2025 16:03:00</t>
  </si>
  <si>
    <t>MLROLL50</t>
  </si>
  <si>
    <t>MLR Roll 50</t>
  </si>
  <si>
    <t>D3JDR16</t>
  </si>
  <si>
    <t>TERR030716-Lalebahçe</t>
  </si>
  <si>
    <t>D3J232856253121</t>
  </si>
  <si>
    <t>D3J232856</t>
  </si>
  <si>
    <t>POLAT GIDA-İBRAHİM POLAT</t>
  </si>
  <si>
    <t>D3J065047253121</t>
  </si>
  <si>
    <t>D3J065047</t>
  </si>
  <si>
    <t>KOÇ MARKET İSA KOÇ</t>
  </si>
  <si>
    <t>06.11.2025 16:02:00</t>
  </si>
  <si>
    <t>D3JDR23</t>
  </si>
  <si>
    <t>TERR030723-Çevreyolu</t>
  </si>
  <si>
    <t>D3J113469253121</t>
  </si>
  <si>
    <t>D3J113469</t>
  </si>
  <si>
    <t>BURHANETTİN KOÇAK</t>
  </si>
  <si>
    <t>06.11.2025 16:01:00</t>
  </si>
  <si>
    <t>D3J218244253121</t>
  </si>
  <si>
    <t>D3J218244</t>
  </si>
  <si>
    <t>ADALILAR GIDA</t>
  </si>
  <si>
    <t>D3J001285253121</t>
  </si>
  <si>
    <t>D3J001285</t>
  </si>
  <si>
    <t>BAKKALİYE  MEHMET ÇETİN</t>
  </si>
  <si>
    <t>06.11.2025 16:00:00</t>
  </si>
  <si>
    <t>D3J048076253121</t>
  </si>
  <si>
    <t>D3J048076</t>
  </si>
  <si>
    <t>FIRAT MARKET MURAT KOÇAK</t>
  </si>
  <si>
    <t>06.11.2025 15:56:00</t>
  </si>
  <si>
    <t>D3J001114253121</t>
  </si>
  <si>
    <t>D3J001114</t>
  </si>
  <si>
    <t>AYHAN GIDA MADD.PAZ. SAN.VE TİC.LTD. ŞTİ.</t>
  </si>
  <si>
    <t>06.11.2025 15:50:00</t>
  </si>
  <si>
    <t>D3J066374253121</t>
  </si>
  <si>
    <t>D3J066374</t>
  </si>
  <si>
    <t>SALİM KÖSE</t>
  </si>
  <si>
    <t>06.11.2025 15:47:00</t>
  </si>
  <si>
    <t>D3J083131253121</t>
  </si>
  <si>
    <t>D3J083131</t>
  </si>
  <si>
    <t>EVA ENERJİ PLANLAMA YAPI SANAYİ VE TİCARET LİMİTED ŞİRKETİ</t>
  </si>
  <si>
    <t>06.11.2025 15:45:00</t>
  </si>
  <si>
    <t>D3J005240253121</t>
  </si>
  <si>
    <t>D3J005240</t>
  </si>
  <si>
    <t>EYLÜL BÜFE MUSTAFA BİÇEN</t>
  </si>
  <si>
    <t>06.11.2025 15:42:00</t>
  </si>
  <si>
    <t>D3JDR03</t>
  </si>
  <si>
    <t>TERR030703-Sanayi</t>
  </si>
  <si>
    <t>D3J121573253121</t>
  </si>
  <si>
    <t>D3J121573</t>
  </si>
  <si>
    <t>AHMET KOCA GIDA HAYV. TARIM İNŞ. PETROL SAN. VE TİC. LTD. ŞTİ.</t>
  </si>
  <si>
    <t>06.11.2025 15:39:00</t>
  </si>
  <si>
    <t>D3J197971253121</t>
  </si>
  <si>
    <t>D3J197971</t>
  </si>
  <si>
    <t>EMRAH GIDA-MERYEM ERTEN</t>
  </si>
  <si>
    <t>06.11.2025 15:20:00</t>
  </si>
  <si>
    <t>D3J238058253121</t>
  </si>
  <si>
    <t>D3J238058</t>
  </si>
  <si>
    <t>SAFA GIDA-SEFA YARAŞ</t>
  </si>
  <si>
    <t>06.11.2025 15:02:00</t>
  </si>
  <si>
    <t>D3J045837253121</t>
  </si>
  <si>
    <t>D3J045837</t>
  </si>
  <si>
    <t>YÜKSEL BAKKAL-MEHMET YÜKSEL</t>
  </si>
  <si>
    <t>06.11.2025 15:00:00</t>
  </si>
  <si>
    <t>D3J128384253121</t>
  </si>
  <si>
    <t>D3J128384</t>
  </si>
  <si>
    <t>AZİM BAKKAL-SABRİ KARAHAN</t>
  </si>
  <si>
    <t>06.11.2025 14:54:00</t>
  </si>
  <si>
    <t>D3J180453253121</t>
  </si>
  <si>
    <t>D3J180453</t>
  </si>
  <si>
    <t>KAYALAR TÜTÜN-VEZİR ÇAKA</t>
  </si>
  <si>
    <t>D3J163942253121</t>
  </si>
  <si>
    <t>D3J163942</t>
  </si>
  <si>
    <t>SELÇUKLU BAKKAL - AHMET ERTAŞ</t>
  </si>
  <si>
    <t>06.11.2025 14:53:00</t>
  </si>
  <si>
    <t>D3J004945253121</t>
  </si>
  <si>
    <t>D3J004945</t>
  </si>
  <si>
    <t>GÜLER BAKKAL-EMİN GÜLER</t>
  </si>
  <si>
    <t>030040400253121</t>
  </si>
  <si>
    <t>030040400</t>
  </si>
  <si>
    <t>MEHMET ÖZYÜREK</t>
  </si>
  <si>
    <t>06.11.2025 14:52:00</t>
  </si>
  <si>
    <t>D3J005265253121</t>
  </si>
  <si>
    <t>D3J005265</t>
  </si>
  <si>
    <t>VEFA TURİZM SAN.TİC.LTD.ŞTİ.</t>
  </si>
  <si>
    <t>D3J005656253121</t>
  </si>
  <si>
    <t>D3J005656</t>
  </si>
  <si>
    <t>GÖRKEM BÜFE-RUMEYSA BÜYÜKDEMİR</t>
  </si>
  <si>
    <t>06.11.2025 14:49:00</t>
  </si>
  <si>
    <t>D3JDR02</t>
  </si>
  <si>
    <t>TERR030702-Kadınlarpazarı</t>
  </si>
  <si>
    <t>D3J175089253121</t>
  </si>
  <si>
    <t>D3J175089</t>
  </si>
  <si>
    <t>YEŞİL HATIP MANDIRA KURUYEMİŞ - HASAN HÜSEYİN UYAR</t>
  </si>
  <si>
    <t>D3J222365253121</t>
  </si>
  <si>
    <t>D3J222365</t>
  </si>
  <si>
    <t>ŞAM KARDEŞLER-İSMAİL HAMAMİ</t>
  </si>
  <si>
    <t>06.11.2025 14:48:00</t>
  </si>
  <si>
    <t>D3J004723253121</t>
  </si>
  <si>
    <t>D3J004723</t>
  </si>
  <si>
    <t>TEKEL BAYİ  SERHAN KAYIMTU</t>
  </si>
  <si>
    <t>06.11.2025 14:37:00</t>
  </si>
  <si>
    <t>D3J000120253121</t>
  </si>
  <si>
    <t>D3J000120</t>
  </si>
  <si>
    <t>ACAROĞLU GIDA  MEHMET ACAROĞLU</t>
  </si>
  <si>
    <t>06.11.2025 14:35:00</t>
  </si>
  <si>
    <t>D3J115213253121</t>
  </si>
  <si>
    <t>D3J115213</t>
  </si>
  <si>
    <t>CADDE TEKEL-SEYİT KÜÇÜKAVCI</t>
  </si>
  <si>
    <t>06.11.2025 14:32:00</t>
  </si>
  <si>
    <t>D3J003768253121</t>
  </si>
  <si>
    <t>D3J003768</t>
  </si>
  <si>
    <t>BAKKAL  HÜSEYİN GÜNGÖR</t>
  </si>
  <si>
    <t>06.11.2025 14:31:00</t>
  </si>
  <si>
    <t>D3J005944253121</t>
  </si>
  <si>
    <t>D3J005944</t>
  </si>
  <si>
    <t>GÖZDE KUNDURA GID.MOB.SAN.TİC.LTD.ŞTİ.</t>
  </si>
  <si>
    <t>06.11.2025 14:30:00</t>
  </si>
  <si>
    <t>D3J034734253121</t>
  </si>
  <si>
    <t>D3J034734</t>
  </si>
  <si>
    <t>KÜLTÜR GIDA ALİ RIZA ÖZKAN</t>
  </si>
  <si>
    <t>06.11.2025 14:22:00</t>
  </si>
  <si>
    <t>030038405253121</t>
  </si>
  <si>
    <t>030038405</t>
  </si>
  <si>
    <t>KÖŞEM BAKKAL - HASAN YILMAZ</t>
  </si>
  <si>
    <t>06.11.2025 14:13:00</t>
  </si>
  <si>
    <t>D3J232439253121</t>
  </si>
  <si>
    <t>D3J232439</t>
  </si>
  <si>
    <t>PAŞALI MARKET MANAV-MURAT TARAKCI</t>
  </si>
  <si>
    <t>06.11.2025 13:58:00</t>
  </si>
  <si>
    <t>D3J005968253121</t>
  </si>
  <si>
    <t>D3J005968</t>
  </si>
  <si>
    <t>BAKKALİYE TEKEL ÜRÜNLERİ PAŞA ÇETİNKAYA</t>
  </si>
  <si>
    <t>06.11.2025 13:54:00</t>
  </si>
  <si>
    <t>D3J228368253121</t>
  </si>
  <si>
    <t>D3J228368</t>
  </si>
  <si>
    <t>ÇELEBİ ŞARKÜTERİ MARKET GIDA SAN.TİC.LTD.ŞTİ</t>
  </si>
  <si>
    <t>06.11.2025 13:36:00</t>
  </si>
  <si>
    <t>D3J160777253121</t>
  </si>
  <si>
    <t>D3J160777</t>
  </si>
  <si>
    <t>CAN MARKET-MEHMET ÖZBAĞÇE</t>
  </si>
  <si>
    <t>06.11.2025 13:35:00</t>
  </si>
  <si>
    <t>D3J142753253121</t>
  </si>
  <si>
    <t>D3J142753</t>
  </si>
  <si>
    <t>KENTGROSS-KENTSANCAK</t>
  </si>
  <si>
    <t>06.11.2025 13:15:00</t>
  </si>
  <si>
    <t>D3J214127253121</t>
  </si>
  <si>
    <t>D3J214127</t>
  </si>
  <si>
    <t>TERRAS BAKKAL-KAZIM AYVAZOĞLUGİL</t>
  </si>
  <si>
    <t>06.11.2025 12:47:00</t>
  </si>
  <si>
    <t>D3J006141253121</t>
  </si>
  <si>
    <t>D3J006141</t>
  </si>
  <si>
    <t>YİĞİT BAKKALİYE - AYŞEGÜL GENCER</t>
  </si>
  <si>
    <t>06.11.2025 12:02:00</t>
  </si>
  <si>
    <t>D3J131697253121</t>
  </si>
  <si>
    <t>D3J131697</t>
  </si>
  <si>
    <t>YILDIRIM BÜFE MÜFİT SABRİ YILDIRIM</t>
  </si>
  <si>
    <t>06.11.2025 11:45:00</t>
  </si>
  <si>
    <t>D3J004802253121</t>
  </si>
  <si>
    <t>D3J004802</t>
  </si>
  <si>
    <t>BAKKAL-ŞARKÜTERİ  ERKAN ARSLAN</t>
  </si>
  <si>
    <t>06.11.2025 11:41:00</t>
  </si>
  <si>
    <t>D3J074517253121</t>
  </si>
  <si>
    <t>D3J074517</t>
  </si>
  <si>
    <t>KENTGROSS-ADLIYE</t>
  </si>
  <si>
    <t>06.11.2025 11:35:00</t>
  </si>
  <si>
    <t>D3J219714253121</t>
  </si>
  <si>
    <t>D3J219714</t>
  </si>
  <si>
    <t>YUSUF EL HÜSEYİN</t>
  </si>
  <si>
    <t>030039234253122</t>
  </si>
  <si>
    <t>030039234</t>
  </si>
  <si>
    <t>TELEFONCULAR PET. ÜRÜN VE OTOM. SAN. TİC. LTD. ŞTİ.</t>
  </si>
  <si>
    <t>06.11.2025 11:34:00</t>
  </si>
  <si>
    <t>D3J170214253121</t>
  </si>
  <si>
    <t>D3J170214</t>
  </si>
  <si>
    <t>SEÇ MARKET - FADİME SARIBAŞ</t>
  </si>
  <si>
    <t>06.11.2025 11:33:00</t>
  </si>
  <si>
    <t>D3J006145253121</t>
  </si>
  <si>
    <t>D3J006145</t>
  </si>
  <si>
    <t>ERİŞ GIDA MARKET-TEVFİK ERİŞ</t>
  </si>
  <si>
    <t>06.11.2025 10:56:00</t>
  </si>
  <si>
    <t>030038958253121</t>
  </si>
  <si>
    <t>030038958</t>
  </si>
  <si>
    <t>GÜNEŞLİ GIDA CUMA BOZGÖZ</t>
  </si>
  <si>
    <t>06.11.2025 10:45:00</t>
  </si>
  <si>
    <t>D3J006048253121</t>
  </si>
  <si>
    <t>D3J006048</t>
  </si>
  <si>
    <t>ÖMER DOLAN</t>
  </si>
  <si>
    <t>06.11.2025 10:27:00</t>
  </si>
  <si>
    <t>D3J005392253121</t>
  </si>
  <si>
    <t>D3J005392</t>
  </si>
  <si>
    <t>CADDE BAKKAL-RAMAZAN BÜYÜKKOÇAK</t>
  </si>
  <si>
    <t>06.11.2025 09:37:00</t>
  </si>
  <si>
    <t>D3J143348253121</t>
  </si>
  <si>
    <t>D3J143348</t>
  </si>
  <si>
    <t>KARAHAN BÜFE ÖMER KARAHAN</t>
  </si>
  <si>
    <t>06.11.2025 09:15:00</t>
  </si>
  <si>
    <t>D3J001563253121</t>
  </si>
  <si>
    <t>D3J001563</t>
  </si>
  <si>
    <t>ARPİN NAK. GIDA MAD. KUN.İMALT.SAN. TİC. LTD.ŞTİ.</t>
  </si>
  <si>
    <t>06.11.2025 09:02:00</t>
  </si>
  <si>
    <t>D3J005897253121</t>
  </si>
  <si>
    <t>D3J005897</t>
  </si>
  <si>
    <t>NUR BAKKAL-BAHRİ DEMİR</t>
  </si>
  <si>
    <t>06.11.2025 08:35:00</t>
  </si>
  <si>
    <t>İstasyon1</t>
  </si>
  <si>
    <t>İstasyon2</t>
  </si>
  <si>
    <t>Satır Etiketleri</t>
  </si>
  <si>
    <t>Genel Toplam</t>
  </si>
  <si>
    <t>Toplam Paket</t>
  </si>
  <si>
    <t>Toplam Karton</t>
  </si>
  <si>
    <t>toplam</t>
  </si>
  <si>
    <t>Toplam</t>
  </si>
  <si>
    <t>bugün depoda kaç kişi var</t>
  </si>
  <si>
    <t>Toplam Çekilecek Stok</t>
  </si>
  <si>
    <t>Sayım1</t>
  </si>
  <si>
    <t>Sayım</t>
  </si>
  <si>
    <t>Sayım2</t>
  </si>
  <si>
    <t>Sayım3</t>
  </si>
  <si>
    <t>Sayım4</t>
  </si>
  <si>
    <t>Rut Sırası</t>
  </si>
  <si>
    <t>Krt</t>
  </si>
  <si>
    <t>Pkt</t>
  </si>
  <si>
    <t>2. sipariş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</si>
</sst>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\-0;;@"/>
  </numFmts>
  <fonts count="2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charset val="162"/>
      <scheme val="minor"/>
    </font>
    <font>
      <b/>
      <sz val="28"/>
      <color theme="1"/>
      <name val="Arial Black"/>
      <family val="2"/>
      <charset val="162"/>
    </font>
    <font>
      <b/>
      <sz val="28"/>
      <color theme="1"/>
      <name val="Calibri"/>
      <family val="2"/>
    </font>
    <font>
      <b/>
      <sz val="28"/>
      <color theme="0"/>
      <name val="Calibri"/>
      <family val="2"/>
    </font>
    <font>
      <b/>
      <sz val="28"/>
      <color theme="0"/>
      <name val="Arial Black"/>
      <family val="2"/>
      <charset val="162"/>
    </font>
    <font>
      <b/>
      <sz val="20"/>
      <color theme="0"/>
      <name val="Arial Black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3" fillId="34" borderId="10" xfId="0" applyFont="1" applyFill="1" applyBorder="1" applyAlignment="1">
      <alignment horizontal="left" vertical="center"/>
    </xf>
    <xf numFmtId="0" fontId="23" fillId="34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left" vertical="center"/>
    </xf>
    <xf numFmtId="165" fontId="23" fillId="34" borderId="10" xfId="0" applyNumberFormat="1" applyFont="1" applyFill="1" applyBorder="1" applyAlignment="1">
      <alignment horizontal="center" vertical="center"/>
    </xf>
    <xf numFmtId="165" fontId="23" fillId="34" borderId="10" xfId="0" applyNumberFormat="1" applyFont="1" applyFill="1" applyBorder="1" applyAlignment="1">
      <alignment horizontal="left" vertical="center"/>
    </xf>
    <xf numFmtId="0" fontId="25" fillId="35" borderId="10" xfId="0" applyFont="1" applyFill="1" applyBorder="1" applyAlignment="1">
      <alignment horizontal="left" vertical="center"/>
    </xf>
    <xf numFmtId="165" fontId="26" fillId="35" borderId="10" xfId="0" applyNumberFormat="1" applyFont="1" applyFill="1" applyBorder="1" applyAlignment="1">
      <alignment horizontal="center" vertical="center"/>
    </xf>
    <xf numFmtId="165" fontId="26" fillId="35" borderId="10" xfId="0" applyNumberFormat="1" applyFont="1" applyFill="1" applyBorder="1" applyAlignment="1">
      <alignment horizontal="left" vertical="center"/>
    </xf>
    <xf numFmtId="165" fontId="27" fillId="35" borderId="10" xfId="0" applyNumberFormat="1" applyFont="1" applyFill="1" applyBorder="1" applyAlignment="1">
      <alignment horizontal="left" vertical="center"/>
    </xf>
    <xf numFmtId="165" fontId="23" fillId="33" borderId="10" xfId="0" applyNumberFormat="1" applyFont="1" applyFill="1" applyBorder="1" applyAlignment="1">
      <alignment horizontal="center" vertical="center"/>
    </xf>
    <xf numFmtId="165" fontId="23" fillId="33" borderId="10" xfId="0" applyNumberFormat="1" applyFont="1" applyFill="1" applyBorder="1" applyAlignment="1">
      <alignment horizontal="left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 P M" refreshedDate="45969.659414236114" createdVersion="8" refreshedVersion="8" minRefreshableVersion="3" recordCount="742" xr:uid="{A03ED8BD-45FB-46BF-8672-4307CB98A302}">
  <cacheSource type="worksheet">
    <worksheetSource ref="A1:M533" sheet="Recipe2"/>
  </cacheSource>
  <cacheFields count="13">
    <cacheField name="Pozisyon" numFmtId="0">
      <sharedItems/>
    </cacheField>
    <cacheField name="Territory" numFmtId="0">
      <sharedItems count="14">
        <s v="TERR030704-Mevlana"/>
        <s v="TERR030701-Bosna-Hersek"/>
        <s v="TERR030727-Sancak"/>
        <s v="TERR030705-Meram"/>
        <s v="TERR030707-Sille"/>
        <s v="TERR030708-Form"/>
        <s v="TERR030709-Şeker-Tekke"/>
        <s v="TERR030713-Büsan"/>
        <s v="TERR030714-Adliye"/>
        <s v="TERR030724-Yazır"/>
        <s v="TERR030716-Lalebahçe"/>
        <s v="TERR030723-Çevreyolu"/>
        <s v="TERR030703-Sanayi"/>
        <s v="TERR030702-Kadınlarpazarı"/>
      </sharedItems>
    </cacheField>
    <cacheField name="SiparişKodu" numFmtId="0">
      <sharedItems/>
    </cacheField>
    <cacheField name="BayiKodu" numFmtId="0">
      <sharedItems/>
    </cacheField>
    <cacheField name="BayiAdı" numFmtId="0">
      <sharedItems/>
    </cacheField>
    <cacheField name="ÜrünKodu" numFmtId="0">
      <sharedItems/>
    </cacheField>
    <cacheField name="ÜrünAdı" numFmtId="0">
      <sharedItems/>
    </cacheField>
    <cacheField name="Paket" numFmtId="0">
      <sharedItems containsSemiMixedTypes="0" containsString="0" containsNumber="1" containsInteger="1" minValue="0" maxValue="9" count="8">
        <n v="0"/>
        <n v="5"/>
        <n v="2"/>
        <n v="6"/>
        <n v="4"/>
        <n v="8"/>
        <n v="9"/>
        <n v="3"/>
      </sharedItems>
    </cacheField>
    <cacheField name="Karton" numFmtId="0">
      <sharedItems containsSemiMixedTypes="0" containsString="0" containsNumber="1" containsInteger="1" minValue="0" maxValue="115"/>
    </cacheField>
    <cacheField name="ÖdemeTipi" numFmtId="0">
      <sharedItems/>
    </cacheField>
    <cacheField name="SiparişTarihi" numFmtId="0">
      <sharedItems/>
    </cacheField>
    <cacheField name="TeslimatTarihi" numFmtId="0">
      <sharedItems/>
    </cacheField>
    <cacheField name="BayiRutSırası" numFmtId="0">
      <sharedItems containsSemiMixedTypes="0" containsString="0" containsNumber="1" containsInteger="1" minValue="4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s v="D3JDR04"/>
    <x v="0"/>
    <s v="D3J005692253121"/>
    <s v="D3J005692"/>
    <s v="ENLİ MARKET RÜSTEM ENLİ"/>
    <s v="PLMNRCB"/>
    <s v="PL Midnight Blue RCB"/>
    <x v="0"/>
    <n v="1"/>
    <s v="VADE"/>
    <s v="06.11.2025 16:54:00"/>
    <s v="07.11.2025 00:00:00"/>
    <n v="43"/>
  </r>
  <r>
    <s v="D3JDR04"/>
    <x v="0"/>
    <s v="D3J005692253121"/>
    <s v="D3J005692"/>
    <s v="ENLİ MARKET RÜSTEM ENLİ"/>
    <s v="LAB100RCB"/>
    <s v="LARK Blue 100 RCB"/>
    <x v="0"/>
    <n v="3"/>
    <s v="VADE"/>
    <s v="06.11.2025 16:54:00"/>
    <s v="07.11.2025 00:00:00"/>
    <n v="43"/>
  </r>
  <r>
    <s v="D3JDR04"/>
    <x v="0"/>
    <s v="D3J005692253121"/>
    <s v="D3J005692"/>
    <s v="ENLİ MARKET RÜSTEM ENLİ"/>
    <s v="CHNAVYBRCB"/>
    <s v="CH NAVY BLUE RCB"/>
    <x v="0"/>
    <n v="1"/>
    <s v="VADE"/>
    <s v="06.11.2025 16:54:00"/>
    <s v="07.11.2025 00:00:00"/>
    <n v="43"/>
  </r>
  <r>
    <s v="D3JDR04"/>
    <x v="0"/>
    <s v="D3J005692253121"/>
    <s v="D3J005692"/>
    <s v="ENLİ MARKET RÜSTEM ENLİ"/>
    <s v="LARKBRCB"/>
    <s v="LARK Blue Rec RCB"/>
    <x v="0"/>
    <n v="3"/>
    <s v="VADE"/>
    <s v="06.11.2025 16:54:00"/>
    <s v="07.11.2025 00:00:00"/>
    <n v="43"/>
  </r>
  <r>
    <s v="D3JDR04"/>
    <x v="0"/>
    <s v="D3J005692253121"/>
    <s v="D3J005692"/>
    <s v="ENLİ MARKET RÜSTEM ENLİ"/>
    <s v="MUARCB"/>
    <s v="MUA Rosso KS RCB"/>
    <x v="1"/>
    <n v="0"/>
    <s v="VADE"/>
    <s v="06.11.2025 16:54:00"/>
    <s v="07.11.2025 00:00:00"/>
    <n v="43"/>
  </r>
  <r>
    <s v="D3JDR04"/>
    <x v="0"/>
    <s v="D3J005692253121"/>
    <s v="D3J005692"/>
    <s v="ENLİ MARKET RÜSTEM ENLİ"/>
    <s v="LM100RCB"/>
    <s v="L&amp;M Red 100 RCB"/>
    <x v="1"/>
    <n v="0"/>
    <s v="VADE"/>
    <s v="06.11.2025 16:54:00"/>
    <s v="07.11.2025 00:00:00"/>
    <n v="43"/>
  </r>
  <r>
    <s v="D3JDR01"/>
    <x v="1"/>
    <s v="D3J145174253121"/>
    <s v="D3J145174"/>
    <s v="BURÇAK MARKET-SÜLEYMAN TEKE"/>
    <s v="PLMNRCB"/>
    <s v="PL Midnight Blue RCB"/>
    <x v="0"/>
    <n v="2"/>
    <s v="VADE"/>
    <s v="06.11.2025 16:53:00"/>
    <s v="07.11.2025 00:00:00"/>
    <n v="8"/>
  </r>
  <r>
    <s v="D3JDR01"/>
    <x v="1"/>
    <s v="D3J145174253121"/>
    <s v="D3J145174"/>
    <s v="BURÇAK MARKET-SÜLEYMAN TEKE"/>
    <s v="MLR100"/>
    <s v="MLR 100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CHMODENAVY"/>
    <s v="CH MODE NAVY"/>
    <x v="2"/>
    <n v="0"/>
    <s v="VADE"/>
    <s v="06.11.2025 16:53:00"/>
    <s v="07.11.2025 00:00:00"/>
    <n v="8"/>
  </r>
  <r>
    <s v="D3JDR01"/>
    <x v="1"/>
    <s v="D3J145174253121"/>
    <s v="D3J145174"/>
    <s v="BURÇAK MARKET-SÜLEYMAN TEKE"/>
    <s v="PLLRC"/>
    <s v="PL Aqua B.KS RCB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MLEDGE"/>
    <s v="MLR Edge KS RCB"/>
    <x v="0"/>
    <n v="12"/>
    <s v="VADE"/>
    <s v="06.11.2025 16:53:00"/>
    <s v="07.11.2025 00:00:00"/>
    <n v="8"/>
  </r>
  <r>
    <s v="D3JDR01"/>
    <x v="1"/>
    <s v="D3J145174253121"/>
    <s v="D3J145174"/>
    <s v="BURÇAK MARKET-SÜLEYMAN TEKE"/>
    <s v="LMRCB"/>
    <s v="L&amp;M Red KS RCB"/>
    <x v="0"/>
    <n v="1"/>
    <s v="VADE"/>
    <s v="06.11.2025 16:53:00"/>
    <s v="07.11.2025 00:00:00"/>
    <n v="8"/>
  </r>
  <r>
    <s v="D3JDR01"/>
    <x v="1"/>
    <s v="D3J145174253121"/>
    <s v="D3J145174"/>
    <s v="BURÇAK MARKET-SÜLEYMAN TEKE"/>
    <s v="PLRSVRCB"/>
    <s v="PL Reserve KS RCB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LAB100RCB"/>
    <s v="LARK Blue 100 RCB"/>
    <x v="0"/>
    <n v="1"/>
    <s v="VADE"/>
    <s v="06.11.2025 16:53:00"/>
    <s v="07.11.2025 00:00:00"/>
    <n v="8"/>
  </r>
  <r>
    <s v="D3JDR01"/>
    <x v="1"/>
    <s v="D3J145174253121"/>
    <s v="D3J145174"/>
    <s v="BURÇAK MARKET-SÜLEYMAN TEKE"/>
    <s v="MLTBLUE"/>
    <s v="MLR Touch Blue"/>
    <x v="0"/>
    <n v="9"/>
    <s v="VADE"/>
    <s v="06.11.2025 16:53:00"/>
    <s v="07.11.2025 00:00:00"/>
    <n v="8"/>
  </r>
  <r>
    <s v="D3JDR01"/>
    <x v="1"/>
    <s v="D3J145174253121"/>
    <s v="D3J145174"/>
    <s v="BURÇAK MARKET-SÜLEYMAN TEKE"/>
    <s v="PLABS100"/>
    <s v="PL Aqua B.Slims 100 RCB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CHNB100RCB"/>
    <s v="CH NavyB 100 RCB"/>
    <x v="0"/>
    <n v="1"/>
    <s v="VADE"/>
    <s v="06.11.2025 16:53:00"/>
    <s v="07.11.2025 00:00:00"/>
    <n v="8"/>
  </r>
  <r>
    <s v="D3JDR01"/>
    <x v="1"/>
    <s v="D3J145174253121"/>
    <s v="D3J145174"/>
    <s v="BURÇAK MARKET-SÜLEYMAN TEKE"/>
    <s v="MUABLU"/>
    <s v="MUA Blu Line KS"/>
    <x v="2"/>
    <n v="0"/>
    <s v="VADE"/>
    <s v="06.11.2025 16:53:00"/>
    <s v="07.11.2025 00:00:00"/>
    <n v="8"/>
  </r>
  <r>
    <s v="D3JDR01"/>
    <x v="1"/>
    <s v="D3J145174253121"/>
    <s v="D3J145174"/>
    <s v="BURÇAK MARKET-SÜLEYMAN TEKE"/>
    <s v="PL100"/>
    <s v="PL Night 100"/>
    <x v="0"/>
    <n v="4"/>
    <s v="VADE"/>
    <s v="06.11.2025 16:53:00"/>
    <s v="07.11.2025 00:00:00"/>
    <n v="8"/>
  </r>
  <r>
    <s v="D3JDR01"/>
    <x v="1"/>
    <s v="D3J145174253121"/>
    <s v="D3J145174"/>
    <s v="BURÇAK MARKET-SÜLEYMAN TEKE"/>
    <s v="MFTB"/>
    <s v="MLR KS Box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MLTGRAY"/>
    <s v="MLR Touch Gray"/>
    <x v="2"/>
    <n v="0"/>
    <s v="VADE"/>
    <s v="06.11.2025 16:53:00"/>
    <s v="07.11.2025 00:00:00"/>
    <n v="8"/>
  </r>
  <r>
    <s v="D3JDR01"/>
    <x v="1"/>
    <s v="D3J145174253121"/>
    <s v="D3J145174"/>
    <s v="BURÇAK MARKET-SÜLEYMAN TEKE"/>
    <s v="CHNAVYBRCB"/>
    <s v="CH NAVY BLUE RCB"/>
    <x v="0"/>
    <n v="3"/>
    <s v="VADE"/>
    <s v="06.11.2025 16:53:00"/>
    <s v="07.11.2025 00:00:00"/>
    <n v="8"/>
  </r>
  <r>
    <s v="D3JDR01"/>
    <x v="1"/>
    <s v="D3J145174253121"/>
    <s v="D3J145174"/>
    <s v="BURÇAK MARKET-SÜLEYMAN TEKE"/>
    <s v="LARKBRCB"/>
    <s v="LARK Blue Rec RCB"/>
    <x v="0"/>
    <n v="1"/>
    <s v="VADE"/>
    <s v="06.11.2025 16:53:00"/>
    <s v="07.11.2025 00:00:00"/>
    <n v="8"/>
  </r>
  <r>
    <s v="D3JDR01"/>
    <x v="1"/>
    <s v="D3J145174253121"/>
    <s v="D3J145174"/>
    <s v="BURÇAK MARKET-SÜLEYMAN TEKE"/>
    <s v="PLRC"/>
    <s v="PL Night KS RCB"/>
    <x v="0"/>
    <n v="10"/>
    <s v="VADE"/>
    <s v="06.11.2025 16:53:00"/>
    <s v="07.11.2025 00:00:00"/>
    <n v="8"/>
  </r>
  <r>
    <s v="D3JDR01"/>
    <x v="1"/>
    <s v="D3J145174253121"/>
    <s v="D3J145174"/>
    <s v="BURÇAK MARKET-SÜLEYMAN TEKE"/>
    <s v="MLEDSLIMS"/>
    <s v="MLR Edge Slims 100 RCB"/>
    <x v="0"/>
    <n v="1"/>
    <s v="VADE"/>
    <s v="06.11.2025 16:53:00"/>
    <s v="07.11.2025 00:00:00"/>
    <n v="8"/>
  </r>
  <r>
    <s v="D3JDR01"/>
    <x v="1"/>
    <s v="D3J145174253121"/>
    <s v="D3J145174"/>
    <s v="BURÇAK MARKET-SÜLEYMAN TEKE"/>
    <s v="MUARCB"/>
    <s v="MUA Rosso KS RCB"/>
    <x v="1"/>
    <n v="0"/>
    <s v="VADE"/>
    <s v="06.11.2025 16:53:00"/>
    <s v="07.11.2025 00:00:00"/>
    <n v="8"/>
  </r>
  <r>
    <s v="D3JDR01"/>
    <x v="1"/>
    <s v="D3J145174253121"/>
    <s v="D3J145174"/>
    <s v="BURÇAK MARKET-SÜLEYMAN TEKE"/>
    <s v="PLLONGRCB"/>
    <s v="PL Night Blue Long RCB"/>
    <x v="3"/>
    <n v="0"/>
    <s v="VADE"/>
    <s v="06.11.2025 16:53:00"/>
    <s v="07.11.2025 00:00:00"/>
    <n v="8"/>
  </r>
  <r>
    <s v="D3JDR01"/>
    <x v="1"/>
    <s v="D3J145174253121"/>
    <s v="D3J145174"/>
    <s v="BURÇAK MARKET-SÜLEYMAN TEKE"/>
    <s v="MLEDBLUE"/>
    <s v="MLR Edge Blue KS RCB"/>
    <x v="0"/>
    <n v="2"/>
    <s v="VADE"/>
    <s v="06.11.2025 16:53:00"/>
    <s v="07.11.2025 00:00:00"/>
    <n v="8"/>
  </r>
  <r>
    <s v="D3JDR01"/>
    <x v="1"/>
    <s v="D3J145174253121"/>
    <s v="D3J145174"/>
    <s v="BURÇAK MARKET-SÜLEYMAN TEKE"/>
    <s v="LM100RCB"/>
    <s v="L&amp;M Red 100 RCB"/>
    <x v="0"/>
    <n v="1"/>
    <s v="VADE"/>
    <s v="06.11.2025 16:53:00"/>
    <s v="07.11.2025 00:00:00"/>
    <n v="8"/>
  </r>
  <r>
    <s v="D3JDR27"/>
    <x v="2"/>
    <s v="D3J005846253121"/>
    <s v="D3J005846"/>
    <s v="KAHVE KURUYEMİŞ VE TEKEL  MUSTAFA ŞAVKU"/>
    <s v="PLMNRCB"/>
    <s v="PL Midnight Blue RCB"/>
    <x v="0"/>
    <n v="6"/>
    <s v="VADE"/>
    <s v="06.11.2025 16:48:00"/>
    <s v="07.11.2025 00:00:00"/>
    <n v="34"/>
  </r>
  <r>
    <s v="D3JDR27"/>
    <x v="2"/>
    <s v="D3J005846253121"/>
    <s v="D3J005846"/>
    <s v="KAHVE KURUYEMİŞ VE TEKEL  MUSTAFA ŞAVKU"/>
    <s v="MLFTB"/>
    <s v="MLR Touch KS Box"/>
    <x v="0"/>
    <n v="3"/>
    <s v="VADE"/>
    <s v="06.11.2025 16:48:00"/>
    <s v="07.11.2025 00:00:00"/>
    <n v="34"/>
  </r>
  <r>
    <s v="D3JDR27"/>
    <x v="2"/>
    <s v="D3J005846253121"/>
    <s v="D3J005846"/>
    <s v="KAHVE KURUYEMİŞ VE TEKEL  MUSTAFA ŞAVKU"/>
    <s v="MLR100"/>
    <s v="MLR 100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PLLRC"/>
    <s v="PL Aqua B.KS RCB"/>
    <x v="0"/>
    <n v="3"/>
    <s v="VADE"/>
    <s v="06.11.2025 16:48:00"/>
    <s v="07.11.2025 00:00:00"/>
    <n v="34"/>
  </r>
  <r>
    <s v="D3JDR27"/>
    <x v="2"/>
    <s v="D3J005846253121"/>
    <s v="D3J005846"/>
    <s v="KAHVE KURUYEMİŞ VE TEKEL  MUSTAFA ŞAVKU"/>
    <s v="MLEDGE"/>
    <s v="MLR Edge KS RCB"/>
    <x v="0"/>
    <n v="11"/>
    <s v="VADE"/>
    <s v="06.11.2025 16:48:00"/>
    <s v="07.11.2025 00:00:00"/>
    <n v="34"/>
  </r>
  <r>
    <s v="D3JDR27"/>
    <x v="2"/>
    <s v="D3J005846253121"/>
    <s v="D3J005846"/>
    <s v="KAHVE KURUYEMİŞ VE TEKEL  MUSTAFA ŞAVKU"/>
    <s v="PLRSVRCB"/>
    <s v="PL Reserve KS RCB"/>
    <x v="0"/>
    <n v="2"/>
    <s v="VADE"/>
    <s v="06.11.2025 16:48:00"/>
    <s v="07.11.2025 00:00:00"/>
    <n v="34"/>
  </r>
  <r>
    <s v="D3JDR27"/>
    <x v="2"/>
    <s v="D3J005846253121"/>
    <s v="D3J005846"/>
    <s v="KAHVE KURUYEMİŞ VE TEKEL  MUSTAFA ŞAVKU"/>
    <s v="MLTBLUE"/>
    <s v="MLR Touch Blue"/>
    <x v="0"/>
    <n v="15"/>
    <s v="VADE"/>
    <s v="06.11.2025 16:48:00"/>
    <s v="07.11.2025 00:00:00"/>
    <n v="34"/>
  </r>
  <r>
    <s v="D3JDR27"/>
    <x v="2"/>
    <s v="D3J005846253121"/>
    <s v="D3J005846"/>
    <s v="KAHVE KURUYEMİŞ VE TEKEL  MUSTAFA ŞAVKU"/>
    <s v="PLABS100"/>
    <s v="PL Aqua B.Slims 100 RCB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MLTONE"/>
    <s v="MLR Touch White"/>
    <x v="0"/>
    <n v="3"/>
    <s v="VADE"/>
    <s v="06.11.2025 16:48:00"/>
    <s v="07.11.2025 00:00:00"/>
    <n v="34"/>
  </r>
  <r>
    <s v="D3JDR27"/>
    <x v="2"/>
    <s v="D3J005846253121"/>
    <s v="D3J005846"/>
    <s v="KAHVE KURUYEMİŞ VE TEKEL  MUSTAFA ŞAVKU"/>
    <s v="PL100"/>
    <s v="PL Night 100"/>
    <x v="0"/>
    <n v="2"/>
    <s v="VADE"/>
    <s v="06.11.2025 16:48:00"/>
    <s v="07.11.2025 00:00:00"/>
    <n v="34"/>
  </r>
  <r>
    <s v="D3JDR27"/>
    <x v="2"/>
    <s v="D3J005846253121"/>
    <s v="D3J005846"/>
    <s v="KAHVE KURUYEMİŞ VE TEKEL  MUSTAFA ŞAVKU"/>
    <s v="MFTB"/>
    <s v="MLR KS Box"/>
    <x v="0"/>
    <n v="3"/>
    <s v="VADE"/>
    <s v="06.11.2025 16:48:00"/>
    <s v="07.11.2025 00:00:00"/>
    <n v="34"/>
  </r>
  <r>
    <s v="D3JDR27"/>
    <x v="2"/>
    <s v="D3J005846253121"/>
    <s v="D3J005846"/>
    <s v="KAHVE KURUYEMİŞ VE TEKEL  MUSTAFA ŞAVKU"/>
    <s v="MLTGRAY"/>
    <s v="MLR Touch Gray"/>
    <x v="0"/>
    <n v="2"/>
    <s v="VADE"/>
    <s v="06.11.2025 16:48:00"/>
    <s v="07.11.2025 00:00:00"/>
    <n v="34"/>
  </r>
  <r>
    <s v="D3JDR27"/>
    <x v="2"/>
    <s v="D3J005846253121"/>
    <s v="D3J005846"/>
    <s v="KAHVE KURUYEMİŞ VE TEKEL  MUSTAFA ŞAVKU"/>
    <s v="LARKBRCB"/>
    <s v="LARK Blue Rec RCB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PLRC"/>
    <s v="PL Night KS RCB"/>
    <x v="0"/>
    <n v="6"/>
    <s v="VADE"/>
    <s v="06.11.2025 16:48:00"/>
    <s v="07.11.2025 00:00:00"/>
    <n v="34"/>
  </r>
  <r>
    <s v="D3JDR27"/>
    <x v="2"/>
    <s v="D3J005846253121"/>
    <s v="D3J005846"/>
    <s v="KAHVE KURUYEMİŞ VE TEKEL  MUSTAFA ŞAVKU"/>
    <s v="MLEDSLIMS"/>
    <s v="MLR Edge Slims 100 RCB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MUARCB"/>
    <s v="MUA Rosso KS RCB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PLLONGRCB"/>
    <s v="PL Night Blue Long RCB"/>
    <x v="0"/>
    <n v="1"/>
    <s v="VADE"/>
    <s v="06.11.2025 16:48:00"/>
    <s v="07.11.2025 00:00:00"/>
    <n v="34"/>
  </r>
  <r>
    <s v="D3JDR27"/>
    <x v="2"/>
    <s v="D3J005846253121"/>
    <s v="D3J005846"/>
    <s v="KAHVE KURUYEMİŞ VE TEKEL  MUSTAFA ŞAVKU"/>
    <s v="MLEDBLUE"/>
    <s v="MLR Edge Blue KS RCB"/>
    <x v="0"/>
    <n v="2"/>
    <s v="VADE"/>
    <s v="06.11.2025 16:48:00"/>
    <s v="07.11.2025 00:00:00"/>
    <n v="34"/>
  </r>
  <r>
    <s v="D3JDR05"/>
    <x v="3"/>
    <s v="D3J236140253121"/>
    <s v="D3J236140"/>
    <s v="ÇEREZ OTAĞI BAKKAL-ONUR ÇİMEN"/>
    <s v="PLMNRCB"/>
    <s v="PL Midnight Blue RCB"/>
    <x v="0"/>
    <n v="2"/>
    <s v="VADE"/>
    <s v="06.11.2025 16:45:00"/>
    <s v="07.11.2025 00:00:00"/>
    <n v="32"/>
  </r>
  <r>
    <s v="D3JDR05"/>
    <x v="3"/>
    <s v="D3J236140253121"/>
    <s v="D3J236140"/>
    <s v="ÇEREZ OTAĞI BAKKAL-ONUR ÇİMEN"/>
    <s v="MLEDGE"/>
    <s v="MLR Edge KS RCB"/>
    <x v="0"/>
    <n v="2"/>
    <s v="VADE"/>
    <s v="06.11.2025 16:45:00"/>
    <s v="07.11.2025 00:00:00"/>
    <n v="32"/>
  </r>
  <r>
    <s v="D3JDR05"/>
    <x v="3"/>
    <s v="D3J236140253121"/>
    <s v="D3J236140"/>
    <s v="ÇEREZ OTAĞI BAKKAL-ONUR ÇİMEN"/>
    <s v="PLABS100"/>
    <s v="PL Aqua B.Slims 100 RCB"/>
    <x v="1"/>
    <n v="0"/>
    <s v="VADE"/>
    <s v="06.11.2025 16:45:00"/>
    <s v="07.11.2025 00:00:00"/>
    <n v="32"/>
  </r>
  <r>
    <s v="D3JDR05"/>
    <x v="3"/>
    <s v="D3J236140253121"/>
    <s v="D3J236140"/>
    <s v="ÇEREZ OTAĞI BAKKAL-ONUR ÇİMEN"/>
    <s v="PL100"/>
    <s v="PL Night 100"/>
    <x v="0"/>
    <n v="1"/>
    <s v="VADE"/>
    <s v="06.11.2025 16:45:00"/>
    <s v="07.11.2025 00:00:00"/>
    <n v="32"/>
  </r>
  <r>
    <s v="D3JDR05"/>
    <x v="3"/>
    <s v="D3J236140253121"/>
    <s v="D3J236140"/>
    <s v="ÇEREZ OTAĞI BAKKAL-ONUR ÇİMEN"/>
    <s v="PLRC"/>
    <s v="PL Night KS RCB"/>
    <x v="0"/>
    <n v="2"/>
    <s v="VADE"/>
    <s v="06.11.2025 16:45:00"/>
    <s v="07.11.2025 00:00:00"/>
    <n v="32"/>
  </r>
  <r>
    <s v="D3JDR05"/>
    <x v="3"/>
    <s v="D3J236140253121"/>
    <s v="D3J236140"/>
    <s v="ÇEREZ OTAĞI BAKKAL-ONUR ÇİMEN"/>
    <s v="MLEDSLIMS"/>
    <s v="MLR Edge Slims 100 RCB"/>
    <x v="0"/>
    <n v="1"/>
    <s v="VADE"/>
    <s v="06.11.2025 16:45:00"/>
    <s v="07.11.2025 00:00:00"/>
    <n v="32"/>
  </r>
  <r>
    <s v="D3JDR05"/>
    <x v="3"/>
    <s v="D3J236140253121"/>
    <s v="D3J236140"/>
    <s v="ÇEREZ OTAĞI BAKKAL-ONUR ÇİMEN"/>
    <s v="MLEDBLUE"/>
    <s v="MLR Edge Blue KS RCB"/>
    <x v="0"/>
    <n v="1"/>
    <s v="VADE"/>
    <s v="06.11.2025 16:45:00"/>
    <s v="07.11.2025 00:00:00"/>
    <n v="32"/>
  </r>
  <r>
    <s v="D3JDR07"/>
    <x v="4"/>
    <s v="D3J004820253121"/>
    <s v="D3J004820"/>
    <s v="BAKKALİYE  HALİL KARABULUT"/>
    <s v="MLEDGE"/>
    <s v="MLR Edge KS RCB"/>
    <x v="0"/>
    <n v="1"/>
    <s v="CASH"/>
    <s v="06.11.2025 16:42:00"/>
    <s v="07.11.2025 00:00:00"/>
    <n v="32"/>
  </r>
  <r>
    <s v="D3JDR07"/>
    <x v="4"/>
    <s v="D3J004820253121"/>
    <s v="D3J004820"/>
    <s v="BAKKALİYE  HALİL KARABULUT"/>
    <s v="MLTBLUE"/>
    <s v="MLR Touch Blue"/>
    <x v="0"/>
    <n v="1"/>
    <s v="CASH"/>
    <s v="06.11.2025 16:42:00"/>
    <s v="07.11.2025 00:00:00"/>
    <n v="32"/>
  </r>
  <r>
    <s v="D3JDR07"/>
    <x v="4"/>
    <s v="D3J004820253121"/>
    <s v="D3J004820"/>
    <s v="BAKKALİYE  HALİL KARABULUT"/>
    <s v="MLEDSLIMS"/>
    <s v="MLR Edge Slims 100 RCB"/>
    <x v="4"/>
    <n v="0"/>
    <s v="CASH"/>
    <s v="06.11.2025 16:42:00"/>
    <s v="07.11.2025 00:00:00"/>
    <n v="32"/>
  </r>
  <r>
    <s v="D3JDR08"/>
    <x v="5"/>
    <s v="D3J005659253121"/>
    <s v="D3J005659"/>
    <s v="BİRLİK GIDA MARKET TEVFİK MIZIRAK"/>
    <s v="PLMNRCB"/>
    <s v="PL Midnight Blue RCB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MLR100"/>
    <s v="MLR 100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CHMODENAVY"/>
    <s v="CH MODE NAVY"/>
    <x v="3"/>
    <n v="0"/>
    <s v="HAVALE"/>
    <s v="06.11.2025 16:38:00"/>
    <s v="07.11.2025 00:00:00"/>
    <n v="33"/>
  </r>
  <r>
    <s v="D3JDR08"/>
    <x v="5"/>
    <s v="D3J005659253121"/>
    <s v="D3J005659"/>
    <s v="BİRLİK GIDA MARKET TEVFİK MIZIRAK"/>
    <s v="MLEDGE"/>
    <s v="MLR Edge KS RCB"/>
    <x v="0"/>
    <n v="3"/>
    <s v="HAVALE"/>
    <s v="06.11.2025 16:38:00"/>
    <s v="07.11.2025 00:00:00"/>
    <n v="33"/>
  </r>
  <r>
    <s v="D3JDR08"/>
    <x v="5"/>
    <s v="D3J005659253121"/>
    <s v="D3J005659"/>
    <s v="BİRLİK GIDA MARKET TEVFİK MIZIRAK"/>
    <s v="LMRCB"/>
    <s v="L&amp;M Red KS RCB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PLRSVRCB"/>
    <s v="PL Reserve KS RCB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LAB100RCB"/>
    <s v="LARK Blue 100 RCB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MLTBLUE"/>
    <s v="MLR Touch Blue"/>
    <x v="0"/>
    <n v="5"/>
    <s v="HAVALE"/>
    <s v="06.11.2025 16:38:00"/>
    <s v="07.11.2025 00:00:00"/>
    <n v="33"/>
  </r>
  <r>
    <s v="D3JDR08"/>
    <x v="5"/>
    <s v="D3J005659253121"/>
    <s v="D3J005659"/>
    <s v="BİRLİK GIDA MARKET TEVFİK MIZIRAK"/>
    <s v="PL100"/>
    <s v="PL Night 100"/>
    <x v="0"/>
    <n v="3"/>
    <s v="HAVALE"/>
    <s v="06.11.2025 16:38:00"/>
    <s v="07.11.2025 00:00:00"/>
    <n v="33"/>
  </r>
  <r>
    <s v="D3JDR08"/>
    <x v="5"/>
    <s v="D3J005659253121"/>
    <s v="D3J005659"/>
    <s v="BİRLİK GIDA MARKET TEVFİK MIZIRAK"/>
    <s v="MFTB"/>
    <s v="MLR KS Box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MLTGRAY"/>
    <s v="MLR Touch Gray"/>
    <x v="0"/>
    <n v="1"/>
    <s v="HAVALE"/>
    <s v="06.11.2025 16:38:00"/>
    <s v="07.11.2025 00:00:00"/>
    <n v="33"/>
  </r>
  <r>
    <s v="D3JDR08"/>
    <x v="5"/>
    <s v="D3J005659253121"/>
    <s v="D3J005659"/>
    <s v="BİRLİK GIDA MARKET TEVFİK MIZIRAK"/>
    <s v="PLRC"/>
    <s v="PL Night KS RCB"/>
    <x v="0"/>
    <n v="4"/>
    <s v="HAVALE"/>
    <s v="06.11.2025 16:38:00"/>
    <s v="07.11.2025 00:00:00"/>
    <n v="33"/>
  </r>
  <r>
    <s v="D3JDR08"/>
    <x v="5"/>
    <s v="D3J005659253121"/>
    <s v="D3J005659"/>
    <s v="BİRLİK GIDA MARKET TEVFİK MIZIRAK"/>
    <s v="MLEDSLIMS"/>
    <s v="MLR Edge Slims 100 RCB"/>
    <x v="5"/>
    <n v="0"/>
    <s v="HAVALE"/>
    <s v="06.11.2025 16:38:00"/>
    <s v="07.11.2025 00:00:00"/>
    <n v="33"/>
  </r>
  <r>
    <s v="D3JDR08"/>
    <x v="5"/>
    <s v="D3J005659253121"/>
    <s v="D3J005659"/>
    <s v="BİRLİK GIDA MARKET TEVFİK MIZIRAK"/>
    <s v="MLEDBLUE"/>
    <s v="MLR Edge Blue KS RCB"/>
    <x v="0"/>
    <n v="1"/>
    <s v="HAVALE"/>
    <s v="06.11.2025 16:38:00"/>
    <s v="07.11.2025 00:00:00"/>
    <n v="33"/>
  </r>
  <r>
    <s v="D3JDR09"/>
    <x v="6"/>
    <s v="D3J003309253121"/>
    <s v="D3J003309"/>
    <s v="BAKKALİYE  SEBAHATTİN ERTEN"/>
    <s v="MLR100"/>
    <s v="MLR 100"/>
    <x v="1"/>
    <n v="0"/>
    <s v="CASH"/>
    <s v="06.11.2025 16:37:00"/>
    <s v="07.11.2025 00:00:00"/>
    <n v="28"/>
  </r>
  <r>
    <s v="D3JDR09"/>
    <x v="6"/>
    <s v="D3J003309253121"/>
    <s v="D3J003309"/>
    <s v="BAKKALİYE  SEBAHATTİN ERTEN"/>
    <s v="MFTB"/>
    <s v="MLR KS Box"/>
    <x v="1"/>
    <n v="0"/>
    <s v="CASH"/>
    <s v="06.11.2025 16:37:00"/>
    <s v="07.11.2025 00:00:00"/>
    <n v="28"/>
  </r>
  <r>
    <s v="D3JDR09"/>
    <x v="6"/>
    <s v="D3J003309253121"/>
    <s v="D3J003309"/>
    <s v="BAKKALİYE  SEBAHATTİN ERTEN"/>
    <s v="MLTGRAY"/>
    <s v="MLR Touch Gray"/>
    <x v="4"/>
    <n v="0"/>
    <s v="CASH"/>
    <s v="06.11.2025 16:37:00"/>
    <s v="07.11.2025 00:00:00"/>
    <n v="28"/>
  </r>
  <r>
    <s v="D3JDR07"/>
    <x v="4"/>
    <s v="D3J001136253121"/>
    <s v="D3J001136"/>
    <s v="ARDIÇ BAKKAL MEDİHA ARDIÇ"/>
    <s v="MLEDGE"/>
    <s v="MLR Edge KS RCB"/>
    <x v="0"/>
    <n v="3"/>
    <s v="CASH"/>
    <s v="06.11.2025 16:37:00"/>
    <s v="07.11.2025 00:00:00"/>
    <n v="37"/>
  </r>
  <r>
    <s v="D3JDR07"/>
    <x v="4"/>
    <s v="D3J001136253121"/>
    <s v="D3J001136"/>
    <s v="ARDIÇ BAKKAL MEDİHA ARDIÇ"/>
    <s v="LMRCB"/>
    <s v="L&amp;M Red KS RCB"/>
    <x v="0"/>
    <n v="1"/>
    <s v="CASH"/>
    <s v="06.11.2025 16:37:00"/>
    <s v="07.11.2025 00:00:00"/>
    <n v="37"/>
  </r>
  <r>
    <s v="D3JDR07"/>
    <x v="4"/>
    <s v="D3J001136253121"/>
    <s v="D3J001136"/>
    <s v="ARDIÇ BAKKAL MEDİHA ARDIÇ"/>
    <s v="MLTBLUE"/>
    <s v="MLR Touch Blue"/>
    <x v="0"/>
    <n v="3"/>
    <s v="CASH"/>
    <s v="06.11.2025 16:37:00"/>
    <s v="07.11.2025 00:00:00"/>
    <n v="37"/>
  </r>
  <r>
    <s v="D3JDR07"/>
    <x v="4"/>
    <s v="D3J001136253121"/>
    <s v="D3J001136"/>
    <s v="ARDIÇ BAKKAL MEDİHA ARDIÇ"/>
    <s v="CHNB100RCB"/>
    <s v="CH NavyB 100 RCB"/>
    <x v="0"/>
    <n v="1"/>
    <s v="CASH"/>
    <s v="06.11.2025 16:37:00"/>
    <s v="07.11.2025 00:00:00"/>
    <n v="37"/>
  </r>
  <r>
    <s v="D3JDR07"/>
    <x v="4"/>
    <s v="D3J001136253121"/>
    <s v="D3J001136"/>
    <s v="ARDIÇ BAKKAL MEDİHA ARDIÇ"/>
    <s v="CHNAVYBRCB"/>
    <s v="CH NAVY BLUE RCB"/>
    <x v="1"/>
    <n v="1"/>
    <s v="CASH"/>
    <s v="06.11.2025 16:37:00"/>
    <s v="07.11.2025 00:00:00"/>
    <n v="37"/>
  </r>
  <r>
    <s v="D3JDR07"/>
    <x v="4"/>
    <s v="D3J001136253121"/>
    <s v="D3J001136"/>
    <s v="ARDIÇ BAKKAL MEDİHA ARDIÇ"/>
    <s v="PLRC"/>
    <s v="PL Night KS RCB"/>
    <x v="0"/>
    <n v="4"/>
    <s v="CASH"/>
    <s v="06.11.2025 16:37:00"/>
    <s v="07.11.2025 00:00:00"/>
    <n v="37"/>
  </r>
  <r>
    <s v="D3JDR07"/>
    <x v="4"/>
    <s v="D3J001136253121"/>
    <s v="D3J001136"/>
    <s v="ARDIÇ BAKKAL MEDİHA ARDIÇ"/>
    <s v="LM100RCB"/>
    <s v="L&amp;M Red 100 RCB"/>
    <x v="1"/>
    <n v="0"/>
    <s v="CASH"/>
    <s v="06.11.2025 16:37:00"/>
    <s v="07.11.2025 00:00:00"/>
    <n v="37"/>
  </r>
  <r>
    <s v="D3JDR09"/>
    <x v="6"/>
    <s v="D3J132009253121"/>
    <s v="D3J132009"/>
    <s v="TAŞFIRIN KURUYEMİŞ ŞEKERLEME GIDA SAN VE TİC LTD ŞTİ - ADAKALE"/>
    <s v="MLFTB"/>
    <s v="MLR Touch KS Box"/>
    <x v="0"/>
    <n v="4"/>
    <s v="HAVALE"/>
    <s v="06.11.2025 16:36:00"/>
    <s v="07.11.2025 00:00:00"/>
    <n v="30"/>
  </r>
  <r>
    <s v="D3JDR09"/>
    <x v="6"/>
    <s v="D3J132009253121"/>
    <s v="D3J132009"/>
    <s v="TAŞFIRIN KURUYEMİŞ ŞEKERLEME GIDA SAN VE TİC LTD ŞTİ - ADAKALE"/>
    <s v="MLTBLUE"/>
    <s v="MLR Touch Blue"/>
    <x v="0"/>
    <n v="10"/>
    <s v="HAVALE"/>
    <s v="06.11.2025 16:36:00"/>
    <s v="07.11.2025 00:00:00"/>
    <n v="30"/>
  </r>
  <r>
    <s v="D3JDR09"/>
    <x v="6"/>
    <s v="D3J132009253121"/>
    <s v="D3J132009"/>
    <s v="TAŞFIRIN KURUYEMİŞ ŞEKERLEME GIDA SAN VE TİC LTD ŞTİ - ADAKALE"/>
    <s v="PL100"/>
    <s v="PL Night 100"/>
    <x v="0"/>
    <n v="5"/>
    <s v="HAVALE"/>
    <s v="06.11.2025 16:36:00"/>
    <s v="07.11.2025 00:00:00"/>
    <n v="30"/>
  </r>
  <r>
    <s v="D3JDR09"/>
    <x v="6"/>
    <s v="D3J132009253121"/>
    <s v="D3J132009"/>
    <s v="TAŞFIRIN KURUYEMİŞ ŞEKERLEME GIDA SAN VE TİC LTD ŞTİ - ADAKALE"/>
    <s v="MUARCB"/>
    <s v="MUA Rosso KS RCB"/>
    <x v="0"/>
    <n v="1"/>
    <s v="HAVALE"/>
    <s v="06.11.2025 16:36:00"/>
    <s v="07.11.2025 00:00:00"/>
    <n v="30"/>
  </r>
  <r>
    <s v="D3JDR07"/>
    <x v="4"/>
    <s v="D3J052894253121"/>
    <s v="D3J052894"/>
    <s v="AKIN SAĞLAM"/>
    <s v="MLFTB"/>
    <s v="MLR Touch KS Box"/>
    <x v="1"/>
    <n v="0"/>
    <s v="HAVALE"/>
    <s v="06.11.2025 16:32:00"/>
    <s v="07.11.2025 00:00:00"/>
    <n v="40"/>
  </r>
  <r>
    <s v="D3JDR07"/>
    <x v="4"/>
    <s v="D3J052894253121"/>
    <s v="D3J052894"/>
    <s v="AKIN SAĞLAM"/>
    <s v="PLLRC"/>
    <s v="PL Aqua B.KS RCB"/>
    <x v="1"/>
    <n v="0"/>
    <s v="HAVALE"/>
    <s v="06.11.2025 16:32:00"/>
    <s v="07.11.2025 00:00:00"/>
    <n v="40"/>
  </r>
  <r>
    <s v="D3JDR07"/>
    <x v="4"/>
    <s v="D3J052894253121"/>
    <s v="D3J052894"/>
    <s v="AKIN SAĞLAM"/>
    <s v="MLEDGE"/>
    <s v="MLR Edge KS RCB"/>
    <x v="0"/>
    <n v="2"/>
    <s v="HAVALE"/>
    <s v="06.11.2025 16:32:00"/>
    <s v="07.11.2025 00:00:00"/>
    <n v="40"/>
  </r>
  <r>
    <s v="D3JDR07"/>
    <x v="4"/>
    <s v="D3J052894253121"/>
    <s v="D3J052894"/>
    <s v="AKIN SAĞLAM"/>
    <s v="PLRSVRCB"/>
    <s v="PL Reserve KS RCB"/>
    <x v="1"/>
    <n v="0"/>
    <s v="HAVALE"/>
    <s v="06.11.2025 16:32:00"/>
    <s v="07.11.2025 00:00:00"/>
    <n v="40"/>
  </r>
  <r>
    <s v="D3JDR07"/>
    <x v="4"/>
    <s v="D3J052894253121"/>
    <s v="D3J052894"/>
    <s v="AKIN SAĞLAM"/>
    <s v="LAB100RCB"/>
    <s v="LARK Blue 100 RCB"/>
    <x v="1"/>
    <n v="0"/>
    <s v="HAVALE"/>
    <s v="06.11.2025 16:32:00"/>
    <s v="07.11.2025 00:00:00"/>
    <n v="40"/>
  </r>
  <r>
    <s v="D3JDR07"/>
    <x v="4"/>
    <s v="D3J052894253121"/>
    <s v="D3J052894"/>
    <s v="AKIN SAĞLAM"/>
    <s v="MLTBLUE"/>
    <s v="MLR Touch Blue"/>
    <x v="0"/>
    <n v="4"/>
    <s v="HAVALE"/>
    <s v="06.11.2025 16:32:00"/>
    <s v="07.11.2025 00:00:00"/>
    <n v="40"/>
  </r>
  <r>
    <s v="D3JDR07"/>
    <x v="4"/>
    <s v="D3J052894253121"/>
    <s v="D3J052894"/>
    <s v="AKIN SAĞLAM"/>
    <s v="CHNB100RCB"/>
    <s v="CH NavyB 100 RCB"/>
    <x v="1"/>
    <n v="0"/>
    <s v="HAVALE"/>
    <s v="06.11.2025 16:32:00"/>
    <s v="07.11.2025 00:00:00"/>
    <n v="40"/>
  </r>
  <r>
    <s v="D3JDR07"/>
    <x v="4"/>
    <s v="D3J052894253121"/>
    <s v="D3J052894"/>
    <s v="AKIN SAĞLAM"/>
    <s v="PL100"/>
    <s v="PL Night 100"/>
    <x v="0"/>
    <n v="2"/>
    <s v="HAVALE"/>
    <s v="06.11.2025 16:32:00"/>
    <s v="07.11.2025 00:00:00"/>
    <n v="40"/>
  </r>
  <r>
    <s v="D3JDR07"/>
    <x v="4"/>
    <s v="D3J052894253121"/>
    <s v="D3J052894"/>
    <s v="AKIN SAĞLAM"/>
    <s v="MLTGRAY"/>
    <s v="MLR Touch Gray"/>
    <x v="2"/>
    <n v="0"/>
    <s v="HAVALE"/>
    <s v="06.11.2025 16:32:00"/>
    <s v="07.11.2025 00:00:00"/>
    <n v="40"/>
  </r>
  <r>
    <s v="D3JDR07"/>
    <x v="4"/>
    <s v="D3J052894253121"/>
    <s v="D3J052894"/>
    <s v="AKIN SAĞLAM"/>
    <s v="PLRC"/>
    <s v="PL Night KS RCB"/>
    <x v="0"/>
    <n v="7"/>
    <s v="HAVALE"/>
    <s v="06.11.2025 16:32:00"/>
    <s v="07.11.2025 00:00:00"/>
    <n v="40"/>
  </r>
  <r>
    <s v="D3JDR07"/>
    <x v="4"/>
    <s v="D3J052894253121"/>
    <s v="D3J052894"/>
    <s v="AKIN SAĞLAM"/>
    <s v="MLEDSLIMS"/>
    <s v="MLR Edge Slims 100 RCB"/>
    <x v="3"/>
    <n v="0"/>
    <s v="HAVALE"/>
    <s v="06.11.2025 16:32:00"/>
    <s v="07.11.2025 00:00:00"/>
    <n v="40"/>
  </r>
  <r>
    <s v="D3JDR07"/>
    <x v="4"/>
    <s v="D3J052894253121"/>
    <s v="D3J052894"/>
    <s v="AKIN SAĞLAM"/>
    <s v="MUARCB"/>
    <s v="MUA Rosso KS RCB"/>
    <x v="1"/>
    <n v="0"/>
    <s v="HAVALE"/>
    <s v="06.11.2025 16:32:00"/>
    <s v="07.11.2025 00:00:00"/>
    <n v="40"/>
  </r>
  <r>
    <s v="D3JDR07"/>
    <x v="4"/>
    <s v="D3J052894253121"/>
    <s v="D3J052894"/>
    <s v="AKIN SAĞLAM"/>
    <s v="PLLONGRCB"/>
    <s v="PL Night Blue Long RCB"/>
    <x v="2"/>
    <n v="0"/>
    <s v="HAVALE"/>
    <s v="06.11.2025 16:32:00"/>
    <s v="07.11.2025 00:00:00"/>
    <n v="40"/>
  </r>
  <r>
    <s v="D3JDR07"/>
    <x v="4"/>
    <s v="D3J052894253121"/>
    <s v="D3J052894"/>
    <s v="AKIN SAĞLAM"/>
    <s v="MLEDBLUE"/>
    <s v="MLR Edge Blue KS RCB"/>
    <x v="0"/>
    <n v="1"/>
    <s v="HAVALE"/>
    <s v="06.11.2025 16:32:00"/>
    <s v="07.11.2025 00:00:00"/>
    <n v="40"/>
  </r>
  <r>
    <s v="D3JDR13"/>
    <x v="7"/>
    <s v="D3J214375253121"/>
    <s v="D3J214375"/>
    <s v="BAŞAK BÜFE-HAVVA KOÇAK"/>
    <s v="MLEDGE"/>
    <s v="MLR Edge KS RCB"/>
    <x v="0"/>
    <n v="4"/>
    <s v="VADE"/>
    <s v="06.11.2025 16:30:00"/>
    <s v="07.11.2025 00:00:00"/>
    <n v="50"/>
  </r>
  <r>
    <s v="D3JDR13"/>
    <x v="7"/>
    <s v="D3J214375253121"/>
    <s v="D3J214375"/>
    <s v="BAŞAK BÜFE-HAVVA KOÇAK"/>
    <s v="MLTBLUE"/>
    <s v="MLR Touch Blue"/>
    <x v="0"/>
    <n v="7"/>
    <s v="VADE"/>
    <s v="06.11.2025 16:30:00"/>
    <s v="07.11.2025 00:00:00"/>
    <n v="50"/>
  </r>
  <r>
    <s v="D3JDR13"/>
    <x v="7"/>
    <s v="D3J214375253121"/>
    <s v="D3J214375"/>
    <s v="BAŞAK BÜFE-HAVVA KOÇAK"/>
    <s v="MFTB"/>
    <s v="MLR KS Box"/>
    <x v="1"/>
    <n v="1"/>
    <s v="VADE"/>
    <s v="06.11.2025 16:30:00"/>
    <s v="07.11.2025 00:00:00"/>
    <n v="50"/>
  </r>
  <r>
    <s v="D3JDR07"/>
    <x v="4"/>
    <s v="D3J057167253121"/>
    <s v="D3J057167"/>
    <s v="ARZU ÖZER"/>
    <s v="PLMNRCB"/>
    <s v="PL Midnight Blue RCB"/>
    <x v="0"/>
    <n v="1"/>
    <s v="VADE"/>
    <s v="06.11.2025 16:28:00"/>
    <s v="07.11.2025 00:00:00"/>
    <n v="35"/>
  </r>
  <r>
    <s v="D3JDR07"/>
    <x v="4"/>
    <s v="D3J057167253121"/>
    <s v="D3J057167"/>
    <s v="ARZU ÖZER"/>
    <s v="MLFTB"/>
    <s v="MLR Touch KS Box"/>
    <x v="1"/>
    <n v="0"/>
    <s v="VADE"/>
    <s v="06.11.2025 16:28:00"/>
    <s v="07.11.2025 00:00:00"/>
    <n v="35"/>
  </r>
  <r>
    <s v="D3JDR07"/>
    <x v="4"/>
    <s v="D3J057167253121"/>
    <s v="D3J057167"/>
    <s v="ARZU ÖZER"/>
    <s v="MLR100"/>
    <s v="MLR 100"/>
    <x v="0"/>
    <n v="1"/>
    <s v="VADE"/>
    <s v="06.11.2025 16:28:00"/>
    <s v="07.11.2025 00:00:00"/>
    <n v="35"/>
  </r>
  <r>
    <s v="D3JDR07"/>
    <x v="4"/>
    <s v="D3J057167253121"/>
    <s v="D3J057167"/>
    <s v="ARZU ÖZER"/>
    <s v="MLEDGE"/>
    <s v="MLR Edge KS RCB"/>
    <x v="0"/>
    <n v="6"/>
    <s v="VADE"/>
    <s v="06.11.2025 16:28:00"/>
    <s v="07.11.2025 00:00:00"/>
    <n v="35"/>
  </r>
  <r>
    <s v="D3JDR07"/>
    <x v="4"/>
    <s v="D3J057167253121"/>
    <s v="D3J057167"/>
    <s v="ARZU ÖZER"/>
    <s v="LAB100RCB"/>
    <s v="LARK Blue 100 RCB"/>
    <x v="0"/>
    <n v="1"/>
    <s v="VADE"/>
    <s v="06.11.2025 16:28:00"/>
    <s v="07.11.2025 00:00:00"/>
    <n v="35"/>
  </r>
  <r>
    <s v="D3JDR07"/>
    <x v="4"/>
    <s v="D3J057167253121"/>
    <s v="D3J057167"/>
    <s v="ARZU ÖZER"/>
    <s v="MLTBLUE"/>
    <s v="MLR Touch Blue"/>
    <x v="0"/>
    <n v="5"/>
    <s v="VADE"/>
    <s v="06.11.2025 16:28:00"/>
    <s v="07.11.2025 00:00:00"/>
    <n v="35"/>
  </r>
  <r>
    <s v="D3JDR07"/>
    <x v="4"/>
    <s v="D3J057167253121"/>
    <s v="D3J057167"/>
    <s v="ARZU ÖZER"/>
    <s v="PL100"/>
    <s v="PL Night 100"/>
    <x v="0"/>
    <n v="1"/>
    <s v="VADE"/>
    <s v="06.11.2025 16:28:00"/>
    <s v="07.11.2025 00:00:00"/>
    <n v="35"/>
  </r>
  <r>
    <s v="D3JDR07"/>
    <x v="4"/>
    <s v="D3J057167253121"/>
    <s v="D3J057167"/>
    <s v="ARZU ÖZER"/>
    <s v="MFTB"/>
    <s v="MLR KS Box"/>
    <x v="0"/>
    <n v="1"/>
    <s v="VADE"/>
    <s v="06.11.2025 16:28:00"/>
    <s v="07.11.2025 00:00:00"/>
    <n v="35"/>
  </r>
  <r>
    <s v="D3JDR07"/>
    <x v="4"/>
    <s v="D3J057167253121"/>
    <s v="D3J057167"/>
    <s v="ARZU ÖZER"/>
    <s v="CHNAVYBRCB"/>
    <s v="CH NAVY BLUE RCB"/>
    <x v="0"/>
    <n v="1"/>
    <s v="VADE"/>
    <s v="06.11.2025 16:28:00"/>
    <s v="07.11.2025 00:00:00"/>
    <n v="35"/>
  </r>
  <r>
    <s v="D3JDR07"/>
    <x v="4"/>
    <s v="D3J057167253121"/>
    <s v="D3J057167"/>
    <s v="ARZU ÖZER"/>
    <s v="LARKBRCB"/>
    <s v="LARK Blue Rec RCB"/>
    <x v="0"/>
    <n v="2"/>
    <s v="VADE"/>
    <s v="06.11.2025 16:28:00"/>
    <s v="07.11.2025 00:00:00"/>
    <n v="35"/>
  </r>
  <r>
    <s v="D3JDR07"/>
    <x v="4"/>
    <s v="D3J057167253121"/>
    <s v="D3J057167"/>
    <s v="ARZU ÖZER"/>
    <s v="PLRC"/>
    <s v="PL Night KS RCB"/>
    <x v="0"/>
    <n v="6"/>
    <s v="VADE"/>
    <s v="06.11.2025 16:28:00"/>
    <s v="07.11.2025 00:00:00"/>
    <n v="35"/>
  </r>
  <r>
    <s v="D3JDR07"/>
    <x v="4"/>
    <s v="D3J057167253121"/>
    <s v="D3J057167"/>
    <s v="ARZU ÖZER"/>
    <s v="MLEDSLIMS"/>
    <s v="MLR Edge Slims 100 RCB"/>
    <x v="0"/>
    <n v="2"/>
    <s v="VADE"/>
    <s v="06.11.2025 16:28:00"/>
    <s v="07.11.2025 00:00:00"/>
    <n v="35"/>
  </r>
  <r>
    <s v="D3JDR07"/>
    <x v="4"/>
    <s v="D3J057167253121"/>
    <s v="D3J057167"/>
    <s v="ARZU ÖZER"/>
    <s v="MUARCB"/>
    <s v="MUA Rosso KS RCB"/>
    <x v="0"/>
    <n v="1"/>
    <s v="VADE"/>
    <s v="06.11.2025 16:28:00"/>
    <s v="07.11.2025 00:00:00"/>
    <n v="35"/>
  </r>
  <r>
    <s v="D3JDR07"/>
    <x v="4"/>
    <s v="D3J057167253121"/>
    <s v="D3J057167"/>
    <s v="ARZU ÖZER"/>
    <s v="MLEDBLUE"/>
    <s v="MLR Edge Blue KS RCB"/>
    <x v="0"/>
    <n v="2"/>
    <s v="VADE"/>
    <s v="06.11.2025 16:28:00"/>
    <s v="07.11.2025 00:00:00"/>
    <n v="35"/>
  </r>
  <r>
    <s v="D3JDR07"/>
    <x v="4"/>
    <s v="D3J021312253121"/>
    <s v="D3J021312"/>
    <s v="AYDINLIKEVLER BAKKALİYE NURİ AKATA"/>
    <s v="MLEDGE"/>
    <s v="MLR Edge KS RCB"/>
    <x v="0"/>
    <n v="1"/>
    <s v="HAVALE"/>
    <s v="06.11.2025 16:25:00"/>
    <s v="07.11.2025 00:00:00"/>
    <n v="39"/>
  </r>
  <r>
    <s v="D3JDR07"/>
    <x v="4"/>
    <s v="D3J021312253121"/>
    <s v="D3J021312"/>
    <s v="AYDINLIKEVLER BAKKALİYE NURİ AKATA"/>
    <s v="LMRCB"/>
    <s v="L&amp;M Red KS RCB"/>
    <x v="1"/>
    <n v="0"/>
    <s v="HAVALE"/>
    <s v="06.11.2025 16:25:00"/>
    <s v="07.11.2025 00:00:00"/>
    <n v="39"/>
  </r>
  <r>
    <s v="D3JDR07"/>
    <x v="4"/>
    <s v="D3J021312253121"/>
    <s v="D3J021312"/>
    <s v="AYDINLIKEVLER BAKKALİYE NURİ AKATA"/>
    <s v="MLTBLUE"/>
    <s v="MLR Touch Blue"/>
    <x v="0"/>
    <n v="1"/>
    <s v="HAVALE"/>
    <s v="06.11.2025 16:25:00"/>
    <s v="07.11.2025 00:00:00"/>
    <n v="39"/>
  </r>
  <r>
    <s v="D3JDR07"/>
    <x v="4"/>
    <s v="D3J021312253121"/>
    <s v="D3J021312"/>
    <s v="AYDINLIKEVLER BAKKALİYE NURİ AKATA"/>
    <s v="CHNAVYBRCB"/>
    <s v="CH NAVY BLUE RCB"/>
    <x v="1"/>
    <n v="0"/>
    <s v="HAVALE"/>
    <s v="06.11.2025 16:25:00"/>
    <s v="07.11.2025 00:00:00"/>
    <n v="39"/>
  </r>
  <r>
    <s v="D3JDR07"/>
    <x v="4"/>
    <s v="D3J021312253121"/>
    <s v="D3J021312"/>
    <s v="AYDINLIKEVLER BAKKALİYE NURİ AKATA"/>
    <s v="LARKBRCB"/>
    <s v="LARK Blue Rec RCB"/>
    <x v="1"/>
    <n v="1"/>
    <s v="HAVALE"/>
    <s v="06.11.2025 16:25:00"/>
    <s v="07.11.2025 00:00:00"/>
    <n v="39"/>
  </r>
  <r>
    <s v="D3JDR07"/>
    <x v="4"/>
    <s v="D3J021312253121"/>
    <s v="D3J021312"/>
    <s v="AYDINLIKEVLER BAKKALİYE NURİ AKATA"/>
    <s v="PLRC"/>
    <s v="PL Night KS RCB"/>
    <x v="0"/>
    <n v="1"/>
    <s v="HAVALE"/>
    <s v="06.11.2025 16:25:00"/>
    <s v="07.11.2025 00:00:00"/>
    <n v="39"/>
  </r>
  <r>
    <s v="D3JDR07"/>
    <x v="4"/>
    <s v="D3J005533253121"/>
    <s v="D3J005533"/>
    <s v="FATİH GIDA-FATİH KAMACI"/>
    <s v="MLTBLUE"/>
    <s v="MLR Touch Blue"/>
    <x v="0"/>
    <n v="1"/>
    <s v="VADE"/>
    <s v="06.11.2025 16:25:00"/>
    <s v="07.11.2025 00:00:00"/>
    <n v="34"/>
  </r>
  <r>
    <s v="D3JDR07"/>
    <x v="4"/>
    <s v="D3J005533253121"/>
    <s v="D3J005533"/>
    <s v="FATİH GIDA-FATİH KAMACI"/>
    <s v="PL100"/>
    <s v="PL Night 100"/>
    <x v="0"/>
    <n v="1"/>
    <s v="VADE"/>
    <s v="06.11.2025 16:25:00"/>
    <s v="07.11.2025 00:00:00"/>
    <n v="34"/>
  </r>
  <r>
    <s v="D3JDR07"/>
    <x v="4"/>
    <s v="D3J005533253121"/>
    <s v="D3J005533"/>
    <s v="FATİH GIDA-FATİH KAMACI"/>
    <s v="PLRC"/>
    <s v="PL Night KS RCB"/>
    <x v="0"/>
    <n v="1"/>
    <s v="VADE"/>
    <s v="06.11.2025 16:25:00"/>
    <s v="07.11.2025 00:00:00"/>
    <n v="34"/>
  </r>
  <r>
    <s v="D3JDR07"/>
    <x v="4"/>
    <s v="D3J005533253121"/>
    <s v="D3J005533"/>
    <s v="FATİH GIDA-FATİH KAMACI"/>
    <s v="MLEDBLUE"/>
    <s v="MLR Edge Blue KS RCB"/>
    <x v="0"/>
    <n v="1"/>
    <s v="VADE"/>
    <s v="06.11.2025 16:25:00"/>
    <s v="07.11.2025 00:00:00"/>
    <n v="34"/>
  </r>
  <r>
    <s v="D3JDR13"/>
    <x v="7"/>
    <s v="030038221253121"/>
    <s v="030038221"/>
    <s v="BAYIR PETROL ÜRÜNLERİ OTOM.GIDA TİC.VE SAN.A.Ş."/>
    <s v="PLMNRCB"/>
    <s v="PL Midnight Blue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FTB"/>
    <s v="MLR Touch KS Box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R100"/>
    <s v="MLR 100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LRC"/>
    <s v="PL Aqua B.KS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EDGE"/>
    <s v="MLR Edge KS RCB"/>
    <x v="0"/>
    <n v="3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LMRCB"/>
    <s v="L&amp;M Red KS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RSVRCB"/>
    <s v="PL Reserve KS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LAB100RCB"/>
    <s v="LARK Blue 100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TBLUE"/>
    <s v="MLR Touch Blue"/>
    <x v="0"/>
    <n v="4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ABS100"/>
    <s v="PL Aqua B.Slims 100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CHNB100RCB"/>
    <s v="CH NavyB 100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TONE"/>
    <s v="MLR Touch White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100"/>
    <s v="PL Night 100"/>
    <x v="0"/>
    <n v="3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FTB"/>
    <s v="MLR KS Box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TGRAY"/>
    <s v="MLR Touch Gray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CHNAVYBRCB"/>
    <s v="CH NAVY BLUE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LARKBRCB"/>
    <s v="LARK Blue Rec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RC"/>
    <s v="PL Night KS RCB"/>
    <x v="0"/>
    <n v="4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EDSLIMS"/>
    <s v="MLR Edge Slims 100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UARCB"/>
    <s v="MUA Rosso KS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PLLONGRCB"/>
    <s v="PL Night Blue Long RCB"/>
    <x v="3"/>
    <n v="0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MLEDBLUE"/>
    <s v="MLR Edge Blue KS RCB"/>
    <x v="0"/>
    <n v="1"/>
    <s v="HAVALE"/>
    <s v="06.11.2025 16:23:00"/>
    <s v="07.11.2025 00:00:00"/>
    <n v="43"/>
  </r>
  <r>
    <s v="D3JDR13"/>
    <x v="7"/>
    <s v="030038221253121"/>
    <s v="030038221"/>
    <s v="BAYIR PETROL ÜRÜNLERİ OTOM.GIDA TİC.VE SAN.A.Ş."/>
    <s v="LM100RCB"/>
    <s v="L&amp;M Red 100 RCB"/>
    <x v="0"/>
    <n v="1"/>
    <s v="HAVALE"/>
    <s v="06.11.2025 16:23:00"/>
    <s v="07.11.2025 00:00:00"/>
    <n v="43"/>
  </r>
  <r>
    <s v="D3JDR07"/>
    <x v="4"/>
    <s v="D3J004506253121"/>
    <s v="D3J004506"/>
    <s v="CEVİZ GROSS GIDA TOPTAN PER. NAK. TUR. LTD. ŞTİ."/>
    <s v="MLEDGE"/>
    <s v="MLR Edge KS RCB"/>
    <x v="0"/>
    <n v="3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LMRCB"/>
    <s v="L&amp;M Red KS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LAB100RCB"/>
    <s v="LARK Blue 100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MLTBLUE"/>
    <s v="MLR Touch Blue"/>
    <x v="0"/>
    <n v="7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PL100"/>
    <s v="PL Night 100"/>
    <x v="0"/>
    <n v="3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MFTB"/>
    <s v="MLR KS Box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CHNAVYBRCB"/>
    <s v="CH NAVY BLUE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PLRC"/>
    <s v="PL Night KS RCB"/>
    <x v="0"/>
    <n v="3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MLEDSLIMS"/>
    <s v="MLR Edge Slims 100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MUARCB"/>
    <s v="MUA Rosso KS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PLLONGRCB"/>
    <s v="PL Night Blue Long RCB"/>
    <x v="0"/>
    <n v="1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MLEDBLUE"/>
    <s v="MLR Edge Blue KS RCB"/>
    <x v="0"/>
    <n v="2"/>
    <s v="VADE"/>
    <s v="06.11.2025 16:11:00"/>
    <s v="07.11.2025 00:00:00"/>
    <n v="29"/>
  </r>
  <r>
    <s v="D3JDR07"/>
    <x v="4"/>
    <s v="D3J004506253121"/>
    <s v="D3J004506"/>
    <s v="CEVİZ GROSS GIDA TOPTAN PER. NAK. TUR. LTD. ŞTİ."/>
    <s v="LM100RCB"/>
    <s v="L&amp;M Red 100 RCB"/>
    <x v="0"/>
    <n v="1"/>
    <s v="VADE"/>
    <s v="06.11.2025 16:11:00"/>
    <s v="07.11.2025 00:00:00"/>
    <n v="29"/>
  </r>
  <r>
    <s v="D3JDR09"/>
    <x v="6"/>
    <s v="D3J130956253121"/>
    <s v="D3J130956"/>
    <s v="COPLAN KURUYEMİŞ-MÜJDAT COPLAN"/>
    <s v="PLMNRCB"/>
    <s v="PL Midnight Blue RCB"/>
    <x v="0"/>
    <n v="2"/>
    <s v="HAVALE"/>
    <s v="06.11.2025 16:11:00"/>
    <s v="07.11.2025 00:00:00"/>
    <n v="20"/>
  </r>
  <r>
    <s v="D3JDR09"/>
    <x v="6"/>
    <s v="D3J130956253121"/>
    <s v="D3J130956"/>
    <s v="COPLAN KURUYEMİŞ-MÜJDAT COPLAN"/>
    <s v="MLFTB"/>
    <s v="MLR Touch KS Box"/>
    <x v="0"/>
    <n v="1"/>
    <s v="HAVALE"/>
    <s v="06.11.2025 16:11:00"/>
    <s v="07.11.2025 00:00:00"/>
    <n v="20"/>
  </r>
  <r>
    <s v="D3JDR09"/>
    <x v="6"/>
    <s v="D3J130956253121"/>
    <s v="D3J130956"/>
    <s v="COPLAN KURUYEMİŞ-MÜJDAT COPLAN"/>
    <s v="MLEDGE"/>
    <s v="MLR Edge KS RCB"/>
    <x v="0"/>
    <n v="2"/>
    <s v="HAVALE"/>
    <s v="06.11.2025 16:11:00"/>
    <s v="07.11.2025 00:00:00"/>
    <n v="20"/>
  </r>
  <r>
    <s v="D3JDR09"/>
    <x v="6"/>
    <s v="D3J130956253121"/>
    <s v="D3J130956"/>
    <s v="COPLAN KURUYEMİŞ-MÜJDAT COPLAN"/>
    <s v="MLTBLUE"/>
    <s v="MLR Touch Blue"/>
    <x v="0"/>
    <n v="2"/>
    <s v="HAVALE"/>
    <s v="06.11.2025 16:11:00"/>
    <s v="07.11.2025 00:00:00"/>
    <n v="20"/>
  </r>
  <r>
    <s v="D3JDR09"/>
    <x v="6"/>
    <s v="D3J130956253121"/>
    <s v="D3J130956"/>
    <s v="COPLAN KURUYEMİŞ-MÜJDAT COPLAN"/>
    <s v="MLTGRAY"/>
    <s v="MLR Touch Gray"/>
    <x v="0"/>
    <n v="1"/>
    <s v="HAVALE"/>
    <s v="06.11.2025 16:11:00"/>
    <s v="07.11.2025 00:00:00"/>
    <n v="20"/>
  </r>
  <r>
    <s v="D3JDR09"/>
    <x v="6"/>
    <s v="D3J130956253121"/>
    <s v="D3J130956"/>
    <s v="COPLAN KURUYEMİŞ-MÜJDAT COPLAN"/>
    <s v="PLRC"/>
    <s v="PL Night KS RCB"/>
    <x v="0"/>
    <n v="3"/>
    <s v="HAVALE"/>
    <s v="06.11.2025 16:11:00"/>
    <s v="07.11.2025 00:00:00"/>
    <n v="20"/>
  </r>
  <r>
    <s v="D3JDR09"/>
    <x v="6"/>
    <s v="D3J130956253121"/>
    <s v="D3J130956"/>
    <s v="COPLAN KURUYEMİŞ-MÜJDAT COPLAN"/>
    <s v="MLEDSLIMS"/>
    <s v="MLR Edge Slims 100 RCB"/>
    <x v="0"/>
    <n v="1"/>
    <s v="HAVALE"/>
    <s v="06.11.2025 16:11:00"/>
    <s v="07.11.2025 00:00:00"/>
    <n v="20"/>
  </r>
  <r>
    <s v="D3JDR05"/>
    <x v="3"/>
    <s v="030040038253121"/>
    <s v="030040038"/>
    <s v="ÖZÇETİNKAYA MARKET SEYİT AŞAR"/>
    <s v="PLMNRCB"/>
    <s v="PL Midnight Blue RCB"/>
    <x v="0"/>
    <n v="2"/>
    <s v="VADE"/>
    <s v="06.11.2025 16:10:00"/>
    <s v="07.11.2025 00:00:00"/>
    <n v="31"/>
  </r>
  <r>
    <s v="D3JDR05"/>
    <x v="3"/>
    <s v="030040038253121"/>
    <s v="030040038"/>
    <s v="ÖZÇETİNKAYA MARKET SEYİT AŞAR"/>
    <s v="MLR100"/>
    <s v="MLR 100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PLLRC"/>
    <s v="PL Aqua B.KS RCB"/>
    <x v="0"/>
    <n v="3"/>
    <s v="VADE"/>
    <s v="06.11.2025 16:10:00"/>
    <s v="07.11.2025 00:00:00"/>
    <n v="31"/>
  </r>
  <r>
    <s v="D3JDR05"/>
    <x v="3"/>
    <s v="030040038253121"/>
    <s v="030040038"/>
    <s v="ÖZÇETİNKAYA MARKET SEYİT AŞAR"/>
    <s v="MLEDGE"/>
    <s v="MLR Edge KS RCB"/>
    <x v="0"/>
    <n v="7"/>
    <s v="VADE"/>
    <s v="06.11.2025 16:10:00"/>
    <s v="07.11.2025 00:00:00"/>
    <n v="31"/>
  </r>
  <r>
    <s v="D3JDR05"/>
    <x v="3"/>
    <s v="030040038253121"/>
    <s v="030040038"/>
    <s v="ÖZÇETİNKAYA MARKET SEYİT AŞAR"/>
    <s v="PLRSVRCB"/>
    <s v="PL Reserve KS RCB"/>
    <x v="1"/>
    <n v="0"/>
    <s v="VADE"/>
    <s v="06.11.2025 16:10:00"/>
    <s v="07.11.2025 00:00:00"/>
    <n v="31"/>
  </r>
  <r>
    <s v="D3JDR05"/>
    <x v="3"/>
    <s v="030040038253121"/>
    <s v="030040038"/>
    <s v="ÖZÇETİNKAYA MARKET SEYİT AŞAR"/>
    <s v="MLTBLUE"/>
    <s v="MLR Touch Blue"/>
    <x v="0"/>
    <n v="10"/>
    <s v="VADE"/>
    <s v="06.11.2025 16:10:00"/>
    <s v="07.11.2025 00:00:00"/>
    <n v="31"/>
  </r>
  <r>
    <s v="D3JDR05"/>
    <x v="3"/>
    <s v="030040038253121"/>
    <s v="030040038"/>
    <s v="ÖZÇETİNKAYA MARKET SEYİT AŞAR"/>
    <s v="PLABS100"/>
    <s v="PL Aqua B.Slims 100 RCB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PL100"/>
    <s v="PL Night 100"/>
    <x v="0"/>
    <n v="7"/>
    <s v="VADE"/>
    <s v="06.11.2025 16:10:00"/>
    <s v="07.11.2025 00:00:00"/>
    <n v="31"/>
  </r>
  <r>
    <s v="D3JDR05"/>
    <x v="3"/>
    <s v="030040038253121"/>
    <s v="030040038"/>
    <s v="ÖZÇETİNKAYA MARKET SEYİT AŞAR"/>
    <s v="MFTB"/>
    <s v="MLR KS Box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MLTGRAY"/>
    <s v="MLR Touch Gray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CHNAVYBRCB"/>
    <s v="CH NAVY BLUE RCB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LARKBRCB"/>
    <s v="LARK Blue Rec RCB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PLRC"/>
    <s v="PL Night KS RCB"/>
    <x v="0"/>
    <n v="10"/>
    <s v="VADE"/>
    <s v="06.11.2025 16:10:00"/>
    <s v="07.11.2025 00:00:00"/>
    <n v="31"/>
  </r>
  <r>
    <s v="D3JDR05"/>
    <x v="3"/>
    <s v="030040038253121"/>
    <s v="030040038"/>
    <s v="ÖZÇETİNKAYA MARKET SEYİT AŞAR"/>
    <s v="MLEDSLIMS"/>
    <s v="MLR Edge Slims 100 RCB"/>
    <x v="0"/>
    <n v="1"/>
    <s v="VADE"/>
    <s v="06.11.2025 16:10:00"/>
    <s v="07.11.2025 00:00:00"/>
    <n v="31"/>
  </r>
  <r>
    <s v="D3JDR05"/>
    <x v="3"/>
    <s v="030040038253121"/>
    <s v="030040038"/>
    <s v="ÖZÇETİNKAYA MARKET SEYİT AŞAR"/>
    <s v="MUARCB"/>
    <s v="MUA Rosso KS RCB"/>
    <x v="0"/>
    <n v="2"/>
    <s v="VADE"/>
    <s v="06.11.2025 16:10:00"/>
    <s v="07.11.2025 00:00:00"/>
    <n v="31"/>
  </r>
  <r>
    <s v="D3JDR05"/>
    <x v="3"/>
    <s v="030040038253121"/>
    <s v="030040038"/>
    <s v="ÖZÇETİNKAYA MARKET SEYİT AŞAR"/>
    <s v="MLEDBLUE"/>
    <s v="MLR Edge Blue KS RCB"/>
    <x v="0"/>
    <n v="2"/>
    <s v="VADE"/>
    <s v="06.11.2025 16:10:00"/>
    <s v="07.11.2025 00:00:00"/>
    <n v="31"/>
  </r>
  <r>
    <s v="D3JDR14"/>
    <x v="8"/>
    <s v="D3J174127253121"/>
    <s v="D3J174127"/>
    <s v="ÖZÇELİKKAYALAR-AKABE"/>
    <s v="MLTBLUE"/>
    <s v="MLR Touch Blue"/>
    <x v="0"/>
    <n v="1"/>
    <s v="VADE"/>
    <s v="06.11.2025 16:10:00"/>
    <s v="07.11.2025 00:00:00"/>
    <n v="46"/>
  </r>
  <r>
    <s v="D3JDR14"/>
    <x v="8"/>
    <s v="D3J174127253121"/>
    <s v="D3J174127"/>
    <s v="ÖZÇELİKKAYALAR-AKABE"/>
    <s v="MLTONE"/>
    <s v="MLR Touch White"/>
    <x v="0"/>
    <n v="1"/>
    <s v="VADE"/>
    <s v="06.11.2025 16:10:00"/>
    <s v="07.11.2025 00:00:00"/>
    <n v="46"/>
  </r>
  <r>
    <s v="D3JDR14"/>
    <x v="8"/>
    <s v="D3J174127253121"/>
    <s v="D3J174127"/>
    <s v="ÖZÇELİKKAYALAR-AKABE"/>
    <s v="PL100"/>
    <s v="PL Night 100"/>
    <x v="0"/>
    <n v="1"/>
    <s v="VADE"/>
    <s v="06.11.2025 16:10:00"/>
    <s v="07.11.2025 00:00:00"/>
    <n v="46"/>
  </r>
  <r>
    <s v="D3JDR14"/>
    <x v="8"/>
    <s v="D3J174127253121"/>
    <s v="D3J174127"/>
    <s v="ÖZÇELİKKAYALAR-AKABE"/>
    <s v="MLTGRAY"/>
    <s v="MLR Touch Gray"/>
    <x v="0"/>
    <n v="1"/>
    <s v="VADE"/>
    <s v="06.11.2025 16:10:00"/>
    <s v="07.11.2025 00:00:00"/>
    <n v="46"/>
  </r>
  <r>
    <s v="D3JDR13"/>
    <x v="7"/>
    <s v="D3J077859253121"/>
    <s v="D3J077859"/>
    <s v="KARADİĞİNLER BÜFE MUSA ERDOĞMUŞ"/>
    <s v="PLMNRCB"/>
    <s v="PL Midnight Blue RCB"/>
    <x v="0"/>
    <n v="1"/>
    <s v="VADE"/>
    <s v="06.11.2025 16:06:00"/>
    <s v="07.11.2025 00:00:00"/>
    <n v="40"/>
  </r>
  <r>
    <s v="D3JDR13"/>
    <x v="7"/>
    <s v="D3J077859253121"/>
    <s v="D3J077859"/>
    <s v="KARADİĞİNLER BÜFE MUSA ERDOĞMUŞ"/>
    <s v="LAB100RCB"/>
    <s v="LARK Blue 100 RCB"/>
    <x v="0"/>
    <n v="2"/>
    <s v="VADE"/>
    <s v="06.11.2025 16:06:00"/>
    <s v="07.11.2025 00:00:00"/>
    <n v="40"/>
  </r>
  <r>
    <s v="D3JDR13"/>
    <x v="7"/>
    <s v="D3J077859253121"/>
    <s v="D3J077859"/>
    <s v="KARADİĞİNLER BÜFE MUSA ERDOĞMUŞ"/>
    <s v="MLTBLUE"/>
    <s v="MLR Touch Blue"/>
    <x v="0"/>
    <n v="2"/>
    <s v="VADE"/>
    <s v="06.11.2025 16:06:00"/>
    <s v="07.11.2025 00:00:00"/>
    <n v="40"/>
  </r>
  <r>
    <s v="D3JDR13"/>
    <x v="7"/>
    <s v="D3J077859253121"/>
    <s v="D3J077859"/>
    <s v="KARADİĞİNLER BÜFE MUSA ERDOĞMUŞ"/>
    <s v="PL100"/>
    <s v="PL Night 100"/>
    <x v="0"/>
    <n v="4"/>
    <s v="VADE"/>
    <s v="06.11.2025 16:06:00"/>
    <s v="07.11.2025 00:00:00"/>
    <n v="40"/>
  </r>
  <r>
    <s v="D3JDR13"/>
    <x v="7"/>
    <s v="D3J077859253121"/>
    <s v="D3J077859"/>
    <s v="KARADİĞİNLER BÜFE MUSA ERDOĞMUŞ"/>
    <s v="MLTGRAY"/>
    <s v="MLR Touch Gray"/>
    <x v="3"/>
    <n v="0"/>
    <s v="VADE"/>
    <s v="06.11.2025 16:06:00"/>
    <s v="07.11.2025 00:00:00"/>
    <n v="40"/>
  </r>
  <r>
    <s v="D3JDR13"/>
    <x v="7"/>
    <s v="D3J077859253121"/>
    <s v="D3J077859"/>
    <s v="KARADİĞİNLER BÜFE MUSA ERDOĞMUŞ"/>
    <s v="PLRC"/>
    <s v="PL Night KS RCB"/>
    <x v="0"/>
    <n v="3"/>
    <s v="VADE"/>
    <s v="06.11.2025 16:06:00"/>
    <s v="07.11.2025 00:00:00"/>
    <n v="40"/>
  </r>
  <r>
    <s v="D3JDR13"/>
    <x v="7"/>
    <s v="D3J005973253121"/>
    <s v="D3J005973"/>
    <s v="TOKDEMİR DAY.TÜK.MAL.GIDA SAN.TİC.LTD.ŞTİ."/>
    <s v="PLMNRCB"/>
    <s v="PL Midnight Blue RCB"/>
    <x v="0"/>
    <n v="1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LR100"/>
    <s v="MLR 100"/>
    <x v="1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LEDGE"/>
    <s v="MLR Edge KS RCB"/>
    <x v="0"/>
    <n v="2"/>
    <s v="VADE"/>
    <s v="06.11.2025 16:05:00"/>
    <s v="07.11.2025 00:00:00"/>
    <n v="37"/>
  </r>
  <r>
    <s v="D3JDR13"/>
    <x v="7"/>
    <s v="D3J005973253121"/>
    <s v="D3J005973"/>
    <s v="TOKDEMİR DAY.TÜK.MAL.GIDA SAN.TİC.LTD.ŞTİ."/>
    <s v="LMRCB"/>
    <s v="L&amp;M Red KS RCB"/>
    <x v="1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LAB100RCB"/>
    <s v="LARK Blue 100 RCB"/>
    <x v="1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LTBLUE"/>
    <s v="MLR Touch Blue"/>
    <x v="0"/>
    <n v="3"/>
    <s v="VADE"/>
    <s v="06.11.2025 16:05:00"/>
    <s v="07.11.2025 00:00:00"/>
    <n v="37"/>
  </r>
  <r>
    <s v="D3JDR13"/>
    <x v="7"/>
    <s v="D3J005973253121"/>
    <s v="D3J005973"/>
    <s v="TOKDEMİR DAY.TÜK.MAL.GIDA SAN.TİC.LTD.ŞTİ."/>
    <s v="PL100"/>
    <s v="PL Night 100"/>
    <x v="0"/>
    <n v="2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LTGRAY"/>
    <s v="MLR Touch Gray"/>
    <x v="4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PLRC"/>
    <s v="PL Night KS RCB"/>
    <x v="0"/>
    <n v="3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UARCB"/>
    <s v="MUA Rosso KS RCB"/>
    <x v="1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PLLONGRCB"/>
    <s v="PL Night Blue Long RCB"/>
    <x v="2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MLEDBLUE"/>
    <s v="MLR Edge Blue KS RCB"/>
    <x v="1"/>
    <n v="0"/>
    <s v="VADE"/>
    <s v="06.11.2025 16:05:00"/>
    <s v="07.11.2025 00:00:00"/>
    <n v="37"/>
  </r>
  <r>
    <s v="D3JDR13"/>
    <x v="7"/>
    <s v="D3J005973253121"/>
    <s v="D3J005973"/>
    <s v="TOKDEMİR DAY.TÜK.MAL.GIDA SAN.TİC.LTD.ŞTİ."/>
    <s v="LM100RCB"/>
    <s v="L&amp;M Red 100 RCB"/>
    <x v="1"/>
    <n v="0"/>
    <s v="VADE"/>
    <s v="06.11.2025 16:05:00"/>
    <s v="07.11.2025 00:00:00"/>
    <n v="37"/>
  </r>
  <r>
    <s v="D3JDR24"/>
    <x v="9"/>
    <s v="D3J226959253121"/>
    <s v="D3J226959"/>
    <s v="AVCAN GAYRİMENKUL OTOMOTİV LİMİTED ŞİRKETİ"/>
    <s v="PLMNRCB"/>
    <s v="PL Midnight Blue RCB"/>
    <x v="0"/>
    <n v="8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FTB"/>
    <s v="MLR Touch KS Box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R100"/>
    <s v="MLR 100"/>
    <x v="0"/>
    <n v="3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LRC"/>
    <s v="PL Aqua B.KS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EDGE"/>
    <s v="MLR Edge KS RCB"/>
    <x v="0"/>
    <n v="20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RSVRCB"/>
    <s v="PL Reserve KS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LAB100RCB"/>
    <s v="LARK Blue 100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TBLUE"/>
    <s v="MLR Touch Blue"/>
    <x v="0"/>
    <n v="24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ABS100"/>
    <s v="PL Aqua B.Slims 100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CHNB100RCB"/>
    <s v="CH NavyB 100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100"/>
    <s v="PL Night 100"/>
    <x v="0"/>
    <n v="18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FTB"/>
    <s v="MLR KS Box"/>
    <x v="0"/>
    <n v="3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ROLL50"/>
    <s v="MLR Roll 50"/>
    <x v="6"/>
    <n v="0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CHNAVYBRCB"/>
    <s v="CH NAVY BLUE RCB"/>
    <x v="0"/>
    <n v="3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LARKBRCB"/>
    <s v="LARK Blue Rec RCB"/>
    <x v="0"/>
    <n v="3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RC"/>
    <s v="PL Night KS RCB"/>
    <x v="0"/>
    <n v="40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UARCB"/>
    <s v="MUA Rosso KS RCB"/>
    <x v="0"/>
    <n v="3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PLLONGRCB"/>
    <s v="PL Night Blue Long RCB"/>
    <x v="0"/>
    <n v="1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MLEDBLUE"/>
    <s v="MLR Edge Blue KS RCB"/>
    <x v="0"/>
    <n v="8"/>
    <s v="HAVALE"/>
    <s v="06.11.2025 16:03:00"/>
    <s v="07.11.2025 00:00:00"/>
    <n v="13"/>
  </r>
  <r>
    <s v="D3JDR24"/>
    <x v="9"/>
    <s v="D3J226959253121"/>
    <s v="D3J226959"/>
    <s v="AVCAN GAYRİMENKUL OTOMOTİV LİMİTED ŞİRKETİ"/>
    <s v="LM100RCB"/>
    <s v="L&amp;M Red 100 RCB"/>
    <x v="0"/>
    <n v="1"/>
    <s v="HAVALE"/>
    <s v="06.11.2025 16:03:00"/>
    <s v="07.11.2025 00:00:00"/>
    <n v="13"/>
  </r>
  <r>
    <s v="D3JDR16"/>
    <x v="10"/>
    <s v="D3J232856253121"/>
    <s v="D3J232856"/>
    <s v="POLAT GIDA-İBRAHİM POLAT"/>
    <s v="MLTBLUE"/>
    <s v="MLR Touch Blue"/>
    <x v="0"/>
    <n v="2"/>
    <s v="CASH"/>
    <s v="06.11.2025 16:03:00"/>
    <s v="07.11.2025 00:00:00"/>
    <n v="36"/>
  </r>
  <r>
    <s v="D3JDR16"/>
    <x v="10"/>
    <s v="D3J232856253121"/>
    <s v="D3J232856"/>
    <s v="POLAT GIDA-İBRAHİM POLAT"/>
    <s v="PLRC"/>
    <s v="PL Night KS RCB"/>
    <x v="0"/>
    <n v="2"/>
    <s v="CASH"/>
    <s v="06.11.2025 16:03:00"/>
    <s v="07.11.2025 00:00:00"/>
    <n v="36"/>
  </r>
  <r>
    <s v="D3JDR04"/>
    <x v="0"/>
    <s v="D3J065047253121"/>
    <s v="D3J065047"/>
    <s v="KOÇ MARKET İSA KOÇ"/>
    <s v="MLFTB"/>
    <s v="MLR Touch KS Box"/>
    <x v="1"/>
    <n v="1"/>
    <s v="VADE"/>
    <s v="06.11.2025 16:02:00"/>
    <s v="07.11.2025 00:00:00"/>
    <n v="41"/>
  </r>
  <r>
    <s v="D3JDR04"/>
    <x v="0"/>
    <s v="D3J065047253121"/>
    <s v="D3J065047"/>
    <s v="KOÇ MARKET İSA KOÇ"/>
    <s v="MLEDGE"/>
    <s v="MLR Edge KS RCB"/>
    <x v="0"/>
    <n v="4"/>
    <s v="VADE"/>
    <s v="06.11.2025 16:02:00"/>
    <s v="07.11.2025 00:00:00"/>
    <n v="41"/>
  </r>
  <r>
    <s v="D3JDR04"/>
    <x v="0"/>
    <s v="D3J065047253121"/>
    <s v="D3J065047"/>
    <s v="KOÇ MARKET İSA KOÇ"/>
    <s v="MLTBLUE"/>
    <s v="MLR Touch Blue"/>
    <x v="0"/>
    <n v="3"/>
    <s v="VADE"/>
    <s v="06.11.2025 16:02:00"/>
    <s v="07.11.2025 00:00:00"/>
    <n v="41"/>
  </r>
  <r>
    <s v="D3JDR04"/>
    <x v="0"/>
    <s v="D3J065047253121"/>
    <s v="D3J065047"/>
    <s v="KOÇ MARKET İSA KOÇ"/>
    <s v="CHNB100RCB"/>
    <s v="CH NavyB 100 RCB"/>
    <x v="1"/>
    <n v="0"/>
    <s v="VADE"/>
    <s v="06.11.2025 16:02:00"/>
    <s v="07.11.2025 00:00:00"/>
    <n v="41"/>
  </r>
  <r>
    <s v="D3JDR04"/>
    <x v="0"/>
    <s v="D3J065047253121"/>
    <s v="D3J065047"/>
    <s v="KOÇ MARKET İSA KOÇ"/>
    <s v="PL100"/>
    <s v="PL Night 100"/>
    <x v="0"/>
    <n v="2"/>
    <s v="VADE"/>
    <s v="06.11.2025 16:02:00"/>
    <s v="07.11.2025 00:00:00"/>
    <n v="41"/>
  </r>
  <r>
    <s v="D3JDR04"/>
    <x v="0"/>
    <s v="D3J065047253121"/>
    <s v="D3J065047"/>
    <s v="KOÇ MARKET İSA KOÇ"/>
    <s v="CHNAVYBRCB"/>
    <s v="CH NAVY BLUE RCB"/>
    <x v="1"/>
    <n v="0"/>
    <s v="VADE"/>
    <s v="06.11.2025 16:02:00"/>
    <s v="07.11.2025 00:00:00"/>
    <n v="41"/>
  </r>
  <r>
    <s v="D3JDR04"/>
    <x v="0"/>
    <s v="D3J065047253121"/>
    <s v="D3J065047"/>
    <s v="KOÇ MARKET İSA KOÇ"/>
    <s v="LARKBRCB"/>
    <s v="LARK Blue Rec RCB"/>
    <x v="0"/>
    <n v="1"/>
    <s v="VADE"/>
    <s v="06.11.2025 16:02:00"/>
    <s v="07.11.2025 00:00:00"/>
    <n v="41"/>
  </r>
  <r>
    <s v="D3JDR04"/>
    <x v="0"/>
    <s v="D3J065047253121"/>
    <s v="D3J065047"/>
    <s v="KOÇ MARKET İSA KOÇ"/>
    <s v="PLRC"/>
    <s v="PL Night KS RCB"/>
    <x v="0"/>
    <n v="4"/>
    <s v="VADE"/>
    <s v="06.11.2025 16:02:00"/>
    <s v="07.11.2025 00:00:00"/>
    <n v="41"/>
  </r>
  <r>
    <s v="D3JDR04"/>
    <x v="0"/>
    <s v="D3J065047253121"/>
    <s v="D3J065047"/>
    <s v="KOÇ MARKET İSA KOÇ"/>
    <s v="MLEDSLIMS"/>
    <s v="MLR Edge Slims 100 RCB"/>
    <x v="4"/>
    <n v="0"/>
    <s v="VADE"/>
    <s v="06.11.2025 16:02:00"/>
    <s v="07.11.2025 00:00:00"/>
    <n v="41"/>
  </r>
  <r>
    <s v="D3JDR04"/>
    <x v="0"/>
    <s v="D3J065047253121"/>
    <s v="D3J065047"/>
    <s v="KOÇ MARKET İSA KOÇ"/>
    <s v="MLEDBLUE"/>
    <s v="MLR Edge Blue KS RCB"/>
    <x v="1"/>
    <n v="0"/>
    <s v="VADE"/>
    <s v="06.11.2025 16:02:00"/>
    <s v="07.11.2025 00:00:00"/>
    <n v="41"/>
  </r>
  <r>
    <s v="D3JDR23"/>
    <x v="11"/>
    <s v="D3J113469253121"/>
    <s v="D3J113469"/>
    <s v="BURHANETTİN KOÇAK"/>
    <s v="PLMNRCB"/>
    <s v="PL Midnight Blue RCB"/>
    <x v="0"/>
    <n v="2"/>
    <s v="VADE"/>
    <s v="06.11.2025 16:01:00"/>
    <s v="07.11.2025 00:00:00"/>
    <n v="39"/>
  </r>
  <r>
    <s v="D3JDR23"/>
    <x v="11"/>
    <s v="D3J113469253121"/>
    <s v="D3J113469"/>
    <s v="BURHANETTİN KOÇAK"/>
    <s v="MLFTB"/>
    <s v="MLR Touch KS Box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MLR100"/>
    <s v="MLR 100"/>
    <x v="0"/>
    <n v="1"/>
    <s v="VADE"/>
    <s v="06.11.2025 16:01:00"/>
    <s v="07.11.2025 00:00:00"/>
    <n v="39"/>
  </r>
  <r>
    <s v="D3JDR23"/>
    <x v="11"/>
    <s v="D3J113469253121"/>
    <s v="D3J113469"/>
    <s v="BURHANETTİN KOÇAK"/>
    <s v="PLLRC"/>
    <s v="PL Aqua B.KS RCB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MLEDGE"/>
    <s v="MLR Edge KS RCB"/>
    <x v="0"/>
    <n v="3"/>
    <s v="VADE"/>
    <s v="06.11.2025 16:01:00"/>
    <s v="07.11.2025 00:00:00"/>
    <n v="39"/>
  </r>
  <r>
    <s v="D3JDR23"/>
    <x v="11"/>
    <s v="D3J113469253121"/>
    <s v="D3J113469"/>
    <s v="BURHANETTİN KOÇAK"/>
    <s v="PLRSVRCB"/>
    <s v="PL Reserve KS RCB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MLTBLUE"/>
    <s v="MLR Touch Blue"/>
    <x v="0"/>
    <n v="8"/>
    <s v="VADE"/>
    <s v="06.11.2025 16:01:00"/>
    <s v="07.11.2025 00:00:00"/>
    <n v="39"/>
  </r>
  <r>
    <s v="D3JDR23"/>
    <x v="11"/>
    <s v="D3J113469253121"/>
    <s v="D3J113469"/>
    <s v="BURHANETTİN KOÇAK"/>
    <s v="PLABS100"/>
    <s v="PL Aqua B.Slims 100 RCB"/>
    <x v="0"/>
    <n v="1"/>
    <s v="VADE"/>
    <s v="06.11.2025 16:01:00"/>
    <s v="07.11.2025 00:00:00"/>
    <n v="39"/>
  </r>
  <r>
    <s v="D3JDR23"/>
    <x v="11"/>
    <s v="D3J113469253121"/>
    <s v="D3J113469"/>
    <s v="BURHANETTİN KOÇAK"/>
    <s v="CHNB100RCB"/>
    <s v="CH NavyB 100 RCB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MLTONE"/>
    <s v="MLR Touch White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PL100"/>
    <s v="PL Night 100"/>
    <x v="0"/>
    <n v="3"/>
    <s v="VADE"/>
    <s v="06.11.2025 16:01:00"/>
    <s v="07.11.2025 00:00:00"/>
    <n v="39"/>
  </r>
  <r>
    <s v="D3JDR23"/>
    <x v="11"/>
    <s v="D3J113469253121"/>
    <s v="D3J113469"/>
    <s v="BURHANETTİN KOÇAK"/>
    <s v="MFTB"/>
    <s v="MLR KS Box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PLRC"/>
    <s v="PL Night KS RCB"/>
    <x v="0"/>
    <n v="7"/>
    <s v="VADE"/>
    <s v="06.11.2025 16:01:00"/>
    <s v="07.11.2025 00:00:00"/>
    <n v="39"/>
  </r>
  <r>
    <s v="D3JDR23"/>
    <x v="11"/>
    <s v="D3J113469253121"/>
    <s v="D3J113469"/>
    <s v="BURHANETTİN KOÇAK"/>
    <s v="MLEDSLIMS"/>
    <s v="MLR Edge Slims 100 RCB"/>
    <x v="0"/>
    <n v="1"/>
    <s v="VADE"/>
    <s v="06.11.2025 16:01:00"/>
    <s v="07.11.2025 00:00:00"/>
    <n v="39"/>
  </r>
  <r>
    <s v="D3JDR23"/>
    <x v="11"/>
    <s v="D3J113469253121"/>
    <s v="D3J113469"/>
    <s v="BURHANETTİN KOÇAK"/>
    <s v="MUARCB"/>
    <s v="MUA Rosso KS RCB"/>
    <x v="1"/>
    <n v="0"/>
    <s v="VADE"/>
    <s v="06.11.2025 16:01:00"/>
    <s v="07.11.2025 00:00:00"/>
    <n v="39"/>
  </r>
  <r>
    <s v="D3JDR23"/>
    <x v="11"/>
    <s v="D3J113469253121"/>
    <s v="D3J113469"/>
    <s v="BURHANETTİN KOÇAK"/>
    <s v="PLLONGRCB"/>
    <s v="PL Night Blue Long RCB"/>
    <x v="2"/>
    <n v="0"/>
    <s v="VADE"/>
    <s v="06.11.2025 16:01:00"/>
    <s v="07.11.2025 00:00:00"/>
    <n v="39"/>
  </r>
  <r>
    <s v="D3JDR23"/>
    <x v="11"/>
    <s v="D3J113469253121"/>
    <s v="D3J113469"/>
    <s v="BURHANETTİN KOÇAK"/>
    <s v="MLEDBLUE"/>
    <s v="MLR Edge Blue KS RCB"/>
    <x v="0"/>
    <n v="3"/>
    <s v="VADE"/>
    <s v="06.11.2025 16:01:00"/>
    <s v="07.11.2025 00:00:00"/>
    <n v="39"/>
  </r>
  <r>
    <s v="D3JDR05"/>
    <x v="3"/>
    <s v="D3J218244253121"/>
    <s v="D3J218244"/>
    <s v="ADALILAR GIDA"/>
    <s v="PLMNRCB"/>
    <s v="PL Midnight Blue RCB"/>
    <x v="0"/>
    <n v="7"/>
    <s v="HAVALE"/>
    <s v="06.11.2025 16:01:00"/>
    <s v="07.11.2025 00:00:00"/>
    <n v="27"/>
  </r>
  <r>
    <s v="D3JDR05"/>
    <x v="3"/>
    <s v="D3J218244253121"/>
    <s v="D3J218244"/>
    <s v="ADALILAR GIDA"/>
    <s v="PLLRC"/>
    <s v="PL Aqua B.KS RCB"/>
    <x v="0"/>
    <n v="1"/>
    <s v="HAVALE"/>
    <s v="06.11.2025 16:01:00"/>
    <s v="07.11.2025 00:00:00"/>
    <n v="27"/>
  </r>
  <r>
    <s v="D3JDR05"/>
    <x v="3"/>
    <s v="D3J218244253121"/>
    <s v="D3J218244"/>
    <s v="ADALILAR GIDA"/>
    <s v="PLRSVRCB"/>
    <s v="PL Reserve KS RCB"/>
    <x v="0"/>
    <n v="2"/>
    <s v="HAVALE"/>
    <s v="06.11.2025 16:01:00"/>
    <s v="07.11.2025 00:00:00"/>
    <n v="27"/>
  </r>
  <r>
    <s v="D3JDR05"/>
    <x v="3"/>
    <s v="D3J218244253121"/>
    <s v="D3J218244"/>
    <s v="ADALILAR GIDA"/>
    <s v="PLABS100"/>
    <s v="PL Aqua B.Slims 100 RCB"/>
    <x v="0"/>
    <n v="1"/>
    <s v="HAVALE"/>
    <s v="06.11.2025 16:01:00"/>
    <s v="07.11.2025 00:00:00"/>
    <n v="27"/>
  </r>
  <r>
    <s v="D3JDR05"/>
    <x v="3"/>
    <s v="D3J218244253121"/>
    <s v="D3J218244"/>
    <s v="ADALILAR GIDA"/>
    <s v="MLTONE"/>
    <s v="MLR Touch White"/>
    <x v="0"/>
    <n v="1"/>
    <s v="HAVALE"/>
    <s v="06.11.2025 16:01:00"/>
    <s v="07.11.2025 00:00:00"/>
    <n v="27"/>
  </r>
  <r>
    <s v="D3JDR05"/>
    <x v="3"/>
    <s v="D3J218244253121"/>
    <s v="D3J218244"/>
    <s v="ADALILAR GIDA"/>
    <s v="PL100"/>
    <s v="PL Night 100"/>
    <x v="0"/>
    <n v="5"/>
    <s v="HAVALE"/>
    <s v="06.11.2025 16:01:00"/>
    <s v="07.11.2025 00:00:00"/>
    <n v="27"/>
  </r>
  <r>
    <s v="D3JDR05"/>
    <x v="3"/>
    <s v="D3J218244253121"/>
    <s v="D3J218244"/>
    <s v="ADALILAR GIDA"/>
    <s v="MFTB"/>
    <s v="MLR KS Box"/>
    <x v="0"/>
    <n v="1"/>
    <s v="HAVALE"/>
    <s v="06.11.2025 16:01:00"/>
    <s v="07.11.2025 00:00:00"/>
    <n v="27"/>
  </r>
  <r>
    <s v="D3JDR05"/>
    <x v="3"/>
    <s v="D3J218244253121"/>
    <s v="D3J218244"/>
    <s v="ADALILAR GIDA"/>
    <s v="MLEDSLIMS"/>
    <s v="MLR Edge Slims 100 RCB"/>
    <x v="0"/>
    <n v="2"/>
    <s v="HAVALE"/>
    <s v="06.11.2025 16:01:00"/>
    <s v="07.11.2025 00:00:00"/>
    <n v="27"/>
  </r>
  <r>
    <s v="D3JDR05"/>
    <x v="3"/>
    <s v="D3J218244253121"/>
    <s v="D3J218244"/>
    <s v="ADALILAR GIDA"/>
    <s v="PLLONGRCB"/>
    <s v="PL Night Blue Long RCB"/>
    <x v="0"/>
    <n v="1"/>
    <s v="HAVALE"/>
    <s v="06.11.2025 16:01:00"/>
    <s v="07.11.2025 00:00:00"/>
    <n v="27"/>
  </r>
  <r>
    <s v="D3JDR14"/>
    <x v="8"/>
    <s v="D3J001285253121"/>
    <s v="D3J001285"/>
    <s v="BAKKALİYE  MEHMET ÇETİN"/>
    <s v="MLEDGE"/>
    <s v="MLR Edge KS RCB"/>
    <x v="0"/>
    <n v="1"/>
    <s v="VADE"/>
    <s v="06.11.2025 16:00:00"/>
    <s v="07.11.2025 00:00:00"/>
    <n v="11"/>
  </r>
  <r>
    <s v="D3JDR14"/>
    <x v="8"/>
    <s v="D3J001285253121"/>
    <s v="D3J001285"/>
    <s v="BAKKALİYE  MEHMET ÇETİN"/>
    <s v="MLTBLUE"/>
    <s v="MLR Touch Blue"/>
    <x v="0"/>
    <n v="1"/>
    <s v="VADE"/>
    <s v="06.11.2025 16:00:00"/>
    <s v="07.11.2025 00:00:00"/>
    <n v="11"/>
  </r>
  <r>
    <s v="D3JDR14"/>
    <x v="8"/>
    <s v="D3J001285253121"/>
    <s v="D3J001285"/>
    <s v="BAKKALİYE  MEHMET ÇETİN"/>
    <s v="PLRC"/>
    <s v="PL Night KS RCB"/>
    <x v="0"/>
    <n v="1"/>
    <s v="VADE"/>
    <s v="06.11.2025 16:00:00"/>
    <s v="07.11.2025 00:00:00"/>
    <n v="11"/>
  </r>
  <r>
    <s v="D3JDR27"/>
    <x v="2"/>
    <s v="D3J048076253121"/>
    <s v="D3J048076"/>
    <s v="FIRAT MARKET MURAT KOÇAK"/>
    <s v="MLTBLUE"/>
    <s v="MLR Touch Blue"/>
    <x v="0"/>
    <n v="4"/>
    <s v="HAVALE"/>
    <s v="06.11.2025 15:56:00"/>
    <s v="07.11.2025 00:00:00"/>
    <n v="35"/>
  </r>
  <r>
    <s v="D3JDR27"/>
    <x v="2"/>
    <s v="D3J048076253121"/>
    <s v="D3J048076"/>
    <s v="FIRAT MARKET MURAT KOÇAK"/>
    <s v="PL100"/>
    <s v="PL Night 100"/>
    <x v="0"/>
    <n v="2"/>
    <s v="HAVALE"/>
    <s v="06.11.2025 15:56:00"/>
    <s v="07.11.2025 00:00:00"/>
    <n v="35"/>
  </r>
  <r>
    <s v="D3JDR27"/>
    <x v="2"/>
    <s v="D3J048076253121"/>
    <s v="D3J048076"/>
    <s v="FIRAT MARKET MURAT KOÇAK"/>
    <s v="MFTB"/>
    <s v="MLR KS Box"/>
    <x v="1"/>
    <n v="1"/>
    <s v="HAVALE"/>
    <s v="06.11.2025 15:56:00"/>
    <s v="07.11.2025 00:00:00"/>
    <n v="35"/>
  </r>
  <r>
    <s v="D3JDR27"/>
    <x v="2"/>
    <s v="D3J048076253121"/>
    <s v="D3J048076"/>
    <s v="FIRAT MARKET MURAT KOÇAK"/>
    <s v="MLTGRAY"/>
    <s v="MLR Touch Gray"/>
    <x v="4"/>
    <n v="0"/>
    <s v="HAVALE"/>
    <s v="06.11.2025 15:56:00"/>
    <s v="07.11.2025 00:00:00"/>
    <n v="35"/>
  </r>
  <r>
    <s v="D3JDR27"/>
    <x v="2"/>
    <s v="D3J048076253121"/>
    <s v="D3J048076"/>
    <s v="FIRAT MARKET MURAT KOÇAK"/>
    <s v="PLRC"/>
    <s v="PL Night KS RCB"/>
    <x v="0"/>
    <n v="4"/>
    <s v="HAVALE"/>
    <s v="06.11.2025 15:56:00"/>
    <s v="07.11.2025 00:00:00"/>
    <n v="35"/>
  </r>
  <r>
    <s v="D3JDR27"/>
    <x v="2"/>
    <s v="D3J048076253121"/>
    <s v="D3J048076"/>
    <s v="FIRAT MARKET MURAT KOÇAK"/>
    <s v="PLLONGRCB"/>
    <s v="PL Night Blue Long RCB"/>
    <x v="3"/>
    <n v="0"/>
    <s v="HAVALE"/>
    <s v="06.11.2025 15:56:00"/>
    <s v="07.11.2025 00:00:00"/>
    <n v="35"/>
  </r>
  <r>
    <s v="D3JDR27"/>
    <x v="2"/>
    <s v="D3J048076253121"/>
    <s v="D3J048076"/>
    <s v="FIRAT MARKET MURAT KOÇAK"/>
    <s v="MLEDBLUE"/>
    <s v="MLR Edge Blue KS RCB"/>
    <x v="0"/>
    <n v="1"/>
    <s v="HAVALE"/>
    <s v="06.11.2025 15:56:00"/>
    <s v="07.11.2025 00:00:00"/>
    <n v="35"/>
  </r>
  <r>
    <s v="D3JDR09"/>
    <x v="6"/>
    <s v="D3J001114253121"/>
    <s v="D3J001114"/>
    <s v="AYHAN GIDA MADD.PAZ. SAN.VE TİC.LTD. ŞTİ."/>
    <s v="MLR100"/>
    <s v="MLR 100"/>
    <x v="0"/>
    <n v="1"/>
    <s v="HAVALE"/>
    <s v="06.11.2025 15:50:00"/>
    <s v="07.11.2025 00:00:00"/>
    <n v="24"/>
  </r>
  <r>
    <s v="D3JDR09"/>
    <x v="6"/>
    <s v="D3J001114253121"/>
    <s v="D3J001114"/>
    <s v="AYHAN GIDA MADD.PAZ. SAN.VE TİC.LTD. ŞTİ."/>
    <s v="MLEDGE"/>
    <s v="MLR Edge KS RCB"/>
    <x v="0"/>
    <n v="3"/>
    <s v="HAVALE"/>
    <s v="06.11.2025 15:50:00"/>
    <s v="07.11.2025 00:00:00"/>
    <n v="24"/>
  </r>
  <r>
    <s v="D3JDR09"/>
    <x v="6"/>
    <s v="D3J001114253121"/>
    <s v="D3J001114"/>
    <s v="AYHAN GIDA MADD.PAZ. SAN.VE TİC.LTD. ŞTİ."/>
    <s v="MLTBLUE"/>
    <s v="MLR Touch Blue"/>
    <x v="0"/>
    <n v="4"/>
    <s v="HAVALE"/>
    <s v="06.11.2025 15:50:00"/>
    <s v="07.11.2025 00:00:00"/>
    <n v="24"/>
  </r>
  <r>
    <s v="D3JDR09"/>
    <x v="6"/>
    <s v="D3J001114253121"/>
    <s v="D3J001114"/>
    <s v="AYHAN GIDA MADD.PAZ. SAN.VE TİC.LTD. ŞTİ."/>
    <s v="PLABS100"/>
    <s v="PL Aqua B.Slims 100 RCB"/>
    <x v="1"/>
    <n v="0"/>
    <s v="HAVALE"/>
    <s v="06.11.2025 15:50:00"/>
    <s v="07.11.2025 00:00:00"/>
    <n v="24"/>
  </r>
  <r>
    <s v="D3JDR09"/>
    <x v="6"/>
    <s v="D3J001114253121"/>
    <s v="D3J001114"/>
    <s v="AYHAN GIDA MADD.PAZ. SAN.VE TİC.LTD. ŞTİ."/>
    <s v="PL100"/>
    <s v="PL Night 100"/>
    <x v="0"/>
    <n v="2"/>
    <s v="HAVALE"/>
    <s v="06.11.2025 15:50:00"/>
    <s v="07.11.2025 00:00:00"/>
    <n v="24"/>
  </r>
  <r>
    <s v="D3JDR09"/>
    <x v="6"/>
    <s v="D3J001114253121"/>
    <s v="D3J001114"/>
    <s v="AYHAN GIDA MADD.PAZ. SAN.VE TİC.LTD. ŞTİ."/>
    <s v="PLRC"/>
    <s v="PL Night KS RCB"/>
    <x v="0"/>
    <n v="3"/>
    <s v="HAVALE"/>
    <s v="06.11.2025 15:50:00"/>
    <s v="07.11.2025 00:00:00"/>
    <n v="24"/>
  </r>
  <r>
    <s v="D3JDR09"/>
    <x v="6"/>
    <s v="D3J001114253121"/>
    <s v="D3J001114"/>
    <s v="AYHAN GIDA MADD.PAZ. SAN.VE TİC.LTD. ŞTİ."/>
    <s v="MLEDSLIMS"/>
    <s v="MLR Edge Slims 100 RCB"/>
    <x v="0"/>
    <n v="2"/>
    <s v="HAVALE"/>
    <s v="06.11.2025 15:50:00"/>
    <s v="07.11.2025 00:00:00"/>
    <n v="24"/>
  </r>
  <r>
    <s v="D3JDR05"/>
    <x v="3"/>
    <s v="D3J066374253121"/>
    <s v="D3J066374"/>
    <s v="SALİM KÖSE"/>
    <s v="PLMNRCB"/>
    <s v="PL Midnight Blue RCB"/>
    <x v="0"/>
    <n v="1"/>
    <s v="HAVALE"/>
    <s v="06.11.2025 15:47:00"/>
    <s v="07.11.2025 00:00:00"/>
    <n v="29"/>
  </r>
  <r>
    <s v="D3JDR05"/>
    <x v="3"/>
    <s v="D3J066374253121"/>
    <s v="D3J066374"/>
    <s v="SALİM KÖSE"/>
    <s v="MLR100"/>
    <s v="MLR 100"/>
    <x v="0"/>
    <n v="1"/>
    <s v="HAVALE"/>
    <s v="06.11.2025 15:47:00"/>
    <s v="07.11.2025 00:00:00"/>
    <n v="29"/>
  </r>
  <r>
    <s v="D3JDR05"/>
    <x v="3"/>
    <s v="D3J066374253121"/>
    <s v="D3J066374"/>
    <s v="SALİM KÖSE"/>
    <s v="MLEDGE"/>
    <s v="MLR Edge KS RCB"/>
    <x v="0"/>
    <n v="4"/>
    <s v="HAVALE"/>
    <s v="06.11.2025 15:47:00"/>
    <s v="07.11.2025 00:00:00"/>
    <n v="29"/>
  </r>
  <r>
    <s v="D3JDR05"/>
    <x v="3"/>
    <s v="D3J066374253121"/>
    <s v="D3J066374"/>
    <s v="SALİM KÖSE"/>
    <s v="LMRCB"/>
    <s v="L&amp;M Red KS RCB"/>
    <x v="1"/>
    <n v="0"/>
    <s v="HAVALE"/>
    <s v="06.11.2025 15:47:00"/>
    <s v="07.11.2025 00:00:00"/>
    <n v="29"/>
  </r>
  <r>
    <s v="D3JDR05"/>
    <x v="3"/>
    <s v="D3J066374253121"/>
    <s v="D3J066374"/>
    <s v="SALİM KÖSE"/>
    <s v="MLTBLUE"/>
    <s v="MLR Touch Blue"/>
    <x v="0"/>
    <n v="4"/>
    <s v="HAVALE"/>
    <s v="06.11.2025 15:47:00"/>
    <s v="07.11.2025 00:00:00"/>
    <n v="29"/>
  </r>
  <r>
    <s v="D3JDR05"/>
    <x v="3"/>
    <s v="D3J066374253121"/>
    <s v="D3J066374"/>
    <s v="SALİM KÖSE"/>
    <s v="CHNB100RCB"/>
    <s v="CH NavyB 100 RCB"/>
    <x v="0"/>
    <n v="1"/>
    <s v="HAVALE"/>
    <s v="06.11.2025 15:47:00"/>
    <s v="07.11.2025 00:00:00"/>
    <n v="29"/>
  </r>
  <r>
    <s v="D3JDR05"/>
    <x v="3"/>
    <s v="D3J066374253121"/>
    <s v="D3J066374"/>
    <s v="SALİM KÖSE"/>
    <s v="PL100"/>
    <s v="PL Night 100"/>
    <x v="0"/>
    <n v="5"/>
    <s v="HAVALE"/>
    <s v="06.11.2025 15:47:00"/>
    <s v="07.11.2025 00:00:00"/>
    <n v="29"/>
  </r>
  <r>
    <s v="D3JDR05"/>
    <x v="3"/>
    <s v="D3J066374253121"/>
    <s v="D3J066374"/>
    <s v="SALİM KÖSE"/>
    <s v="MFTB"/>
    <s v="MLR KS Box"/>
    <x v="0"/>
    <n v="1"/>
    <s v="HAVALE"/>
    <s v="06.11.2025 15:47:00"/>
    <s v="07.11.2025 00:00:00"/>
    <n v="29"/>
  </r>
  <r>
    <s v="D3JDR05"/>
    <x v="3"/>
    <s v="D3J066374253121"/>
    <s v="D3J066374"/>
    <s v="SALİM KÖSE"/>
    <s v="CHNAVYBRCB"/>
    <s v="CH NAVY BLUE RCB"/>
    <x v="1"/>
    <n v="0"/>
    <s v="HAVALE"/>
    <s v="06.11.2025 15:47:00"/>
    <s v="07.11.2025 00:00:00"/>
    <n v="29"/>
  </r>
  <r>
    <s v="D3JDR05"/>
    <x v="3"/>
    <s v="D3J066374253121"/>
    <s v="D3J066374"/>
    <s v="SALİM KÖSE"/>
    <s v="PLRC"/>
    <s v="PL Night KS RCB"/>
    <x v="0"/>
    <n v="7"/>
    <s v="HAVALE"/>
    <s v="06.11.2025 15:47:00"/>
    <s v="07.11.2025 00:00:00"/>
    <n v="29"/>
  </r>
  <r>
    <s v="D3JDR05"/>
    <x v="3"/>
    <s v="D3J066374253121"/>
    <s v="D3J066374"/>
    <s v="SALİM KÖSE"/>
    <s v="MLEDSLIMS"/>
    <s v="MLR Edge Slims 100 RCB"/>
    <x v="0"/>
    <n v="1"/>
    <s v="HAVALE"/>
    <s v="06.11.2025 15:47:00"/>
    <s v="07.11.2025 00:00:00"/>
    <n v="29"/>
  </r>
  <r>
    <s v="D3JDR05"/>
    <x v="3"/>
    <s v="D3J066374253121"/>
    <s v="D3J066374"/>
    <s v="SALİM KÖSE"/>
    <s v="MUARCB"/>
    <s v="MUA Rosso KS RCB"/>
    <x v="0"/>
    <n v="1"/>
    <s v="HAVALE"/>
    <s v="06.11.2025 15:47:00"/>
    <s v="07.11.2025 00:00:00"/>
    <n v="29"/>
  </r>
  <r>
    <s v="D3JDR05"/>
    <x v="3"/>
    <s v="D3J066374253121"/>
    <s v="D3J066374"/>
    <s v="SALİM KÖSE"/>
    <s v="MLEDBLUE"/>
    <s v="MLR Edge Blue KS RCB"/>
    <x v="0"/>
    <n v="2"/>
    <s v="HAVALE"/>
    <s v="06.11.2025 15:47:00"/>
    <s v="07.11.2025 00:00:00"/>
    <n v="29"/>
  </r>
  <r>
    <s v="D3JDR13"/>
    <x v="7"/>
    <s v="D3J083131253121"/>
    <s v="D3J083131"/>
    <s v="EVA ENERJİ PLANLAMA YAPI SANAYİ VE TİCARET LİMİTED ŞİRKETİ"/>
    <s v="PLLRC"/>
    <s v="PL Aqua B.KS RCB"/>
    <x v="0"/>
    <n v="1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MLEDGE"/>
    <s v="MLR Edge KS RCB"/>
    <x v="0"/>
    <n v="25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PLRSVRCB"/>
    <s v="PL Reserve KS RCB"/>
    <x v="0"/>
    <n v="2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LAB100RCB"/>
    <s v="LARK Blue 100 RCB"/>
    <x v="0"/>
    <n v="1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PLABS100"/>
    <s v="PL Aqua B.Slims 100 RCB"/>
    <x v="0"/>
    <n v="1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CHNB100RCB"/>
    <s v="CH NavyB 100 RCB"/>
    <x v="0"/>
    <n v="1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MLTONE"/>
    <s v="MLR Touch White"/>
    <x v="0"/>
    <n v="1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MFTB"/>
    <s v="MLR KS Box"/>
    <x v="0"/>
    <n v="2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MLROLL50"/>
    <s v="MLR Roll 50"/>
    <x v="7"/>
    <n v="0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CHNAVYBRCB"/>
    <s v="CH NAVY BLUE RCB"/>
    <x v="0"/>
    <n v="3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LARKBRCB"/>
    <s v="LARK Blue Rec RCB"/>
    <x v="0"/>
    <n v="3"/>
    <s v="HAVALE"/>
    <s v="06.11.2025 15:45:00"/>
    <s v="07.11.2025 00:00:00"/>
    <n v="49"/>
  </r>
  <r>
    <s v="D3JDR13"/>
    <x v="7"/>
    <s v="D3J083131253121"/>
    <s v="D3J083131"/>
    <s v="EVA ENERJİ PLANLAMA YAPI SANAYİ VE TİCARET LİMİTED ŞİRKETİ"/>
    <s v="MUARCB"/>
    <s v="MUA Rosso KS RCB"/>
    <x v="0"/>
    <n v="3"/>
    <s v="HAVALE"/>
    <s v="06.11.2025 15:45:00"/>
    <s v="07.11.2025 00:00:00"/>
    <n v="49"/>
  </r>
  <r>
    <s v="D3JDR13"/>
    <x v="7"/>
    <s v="D3J005240253121"/>
    <s v="D3J005240"/>
    <s v="EYLÜL BÜFE MUSTAFA BİÇEN"/>
    <s v="MLR100"/>
    <s v="MLR 100"/>
    <x v="1"/>
    <n v="0"/>
    <s v="HAVALE"/>
    <s v="06.11.2025 15:42:00"/>
    <s v="07.11.2025 00:00:00"/>
    <n v="39"/>
  </r>
  <r>
    <s v="D3JDR13"/>
    <x v="7"/>
    <s v="D3J005240253121"/>
    <s v="D3J005240"/>
    <s v="EYLÜL BÜFE MUSTAFA BİÇEN"/>
    <s v="MLEDGE"/>
    <s v="MLR Edge KS RCB"/>
    <x v="0"/>
    <n v="3"/>
    <s v="HAVALE"/>
    <s v="06.11.2025 15:42:00"/>
    <s v="07.11.2025 00:00:00"/>
    <n v="39"/>
  </r>
  <r>
    <s v="D3JDR13"/>
    <x v="7"/>
    <s v="D3J005240253121"/>
    <s v="D3J005240"/>
    <s v="EYLÜL BÜFE MUSTAFA BİÇEN"/>
    <s v="MLTBLUE"/>
    <s v="MLR Touch Blue"/>
    <x v="0"/>
    <n v="2"/>
    <s v="HAVALE"/>
    <s v="06.11.2025 15:42:00"/>
    <s v="07.11.2025 00:00:00"/>
    <n v="39"/>
  </r>
  <r>
    <s v="D3JDR13"/>
    <x v="7"/>
    <s v="D3J005240253121"/>
    <s v="D3J005240"/>
    <s v="EYLÜL BÜFE MUSTAFA BİÇEN"/>
    <s v="CHNB100RCB"/>
    <s v="CH NavyB 100 RCB"/>
    <x v="1"/>
    <n v="0"/>
    <s v="HAVALE"/>
    <s v="06.11.2025 15:42:00"/>
    <s v="07.11.2025 00:00:00"/>
    <n v="39"/>
  </r>
  <r>
    <s v="D3JDR13"/>
    <x v="7"/>
    <s v="D3J005240253121"/>
    <s v="D3J005240"/>
    <s v="EYLÜL BÜFE MUSTAFA BİÇEN"/>
    <s v="PL100"/>
    <s v="PL Night 100"/>
    <x v="0"/>
    <n v="1"/>
    <s v="HAVALE"/>
    <s v="06.11.2025 15:42:00"/>
    <s v="07.11.2025 00:00:00"/>
    <n v="39"/>
  </r>
  <r>
    <s v="D3JDR13"/>
    <x v="7"/>
    <s v="D3J005240253121"/>
    <s v="D3J005240"/>
    <s v="EYLÜL BÜFE MUSTAFA BİÇEN"/>
    <s v="MFTB"/>
    <s v="MLR KS Box"/>
    <x v="1"/>
    <n v="0"/>
    <s v="HAVALE"/>
    <s v="06.11.2025 15:42:00"/>
    <s v="07.11.2025 00:00:00"/>
    <n v="39"/>
  </r>
  <r>
    <s v="D3JDR13"/>
    <x v="7"/>
    <s v="D3J005240253121"/>
    <s v="D3J005240"/>
    <s v="EYLÜL BÜFE MUSTAFA BİÇEN"/>
    <s v="MLTGRAY"/>
    <s v="MLR Touch Gray"/>
    <x v="2"/>
    <n v="0"/>
    <s v="HAVALE"/>
    <s v="06.11.2025 15:42:00"/>
    <s v="07.11.2025 00:00:00"/>
    <n v="39"/>
  </r>
  <r>
    <s v="D3JDR13"/>
    <x v="7"/>
    <s v="D3J005240253121"/>
    <s v="D3J005240"/>
    <s v="EYLÜL BÜFE MUSTAFA BİÇEN"/>
    <s v="LARKBRCB"/>
    <s v="LARK Blue Rec RCB"/>
    <x v="1"/>
    <n v="0"/>
    <s v="HAVALE"/>
    <s v="06.11.2025 15:42:00"/>
    <s v="07.11.2025 00:00:00"/>
    <n v="39"/>
  </r>
  <r>
    <s v="D3JDR13"/>
    <x v="7"/>
    <s v="D3J005240253121"/>
    <s v="D3J005240"/>
    <s v="EYLÜL BÜFE MUSTAFA BİÇEN"/>
    <s v="PLRC"/>
    <s v="PL Night KS RCB"/>
    <x v="0"/>
    <n v="4"/>
    <s v="HAVALE"/>
    <s v="06.11.2025 15:42:00"/>
    <s v="07.11.2025 00:00:00"/>
    <n v="39"/>
  </r>
  <r>
    <s v="D3JDR13"/>
    <x v="7"/>
    <s v="D3J005240253121"/>
    <s v="D3J005240"/>
    <s v="EYLÜL BÜFE MUSTAFA BİÇEN"/>
    <s v="PLLONGRCB"/>
    <s v="PL Night Blue Long RCB"/>
    <x v="4"/>
    <n v="0"/>
    <s v="HAVALE"/>
    <s v="06.11.2025 15:42:00"/>
    <s v="07.11.2025 00:00:00"/>
    <n v="39"/>
  </r>
  <r>
    <s v="D3JDR13"/>
    <x v="7"/>
    <s v="D3J005240253121"/>
    <s v="D3J005240"/>
    <s v="EYLÜL BÜFE MUSTAFA BİÇEN"/>
    <s v="MLEDBLUE"/>
    <s v="MLR Edge Blue KS RCB"/>
    <x v="1"/>
    <n v="0"/>
    <s v="HAVALE"/>
    <s v="06.11.2025 15:42:00"/>
    <s v="07.11.2025 00:00:00"/>
    <n v="39"/>
  </r>
  <r>
    <s v="D3JDR03"/>
    <x v="12"/>
    <s v="D3J121573253121"/>
    <s v="D3J121573"/>
    <s v="AHMET KOCA GIDA HAYV. TARIM İNŞ. PETROL SAN. VE TİC. LTD. ŞTİ."/>
    <s v="PLMNRCB"/>
    <s v="PL Midnight Blue RCB"/>
    <x v="0"/>
    <n v="1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FTB"/>
    <s v="MLR Touch KS Box"/>
    <x v="1"/>
    <n v="8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R100"/>
    <s v="MLR 100"/>
    <x v="0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LRC"/>
    <s v="PL Aqua B.KS RCB"/>
    <x v="0"/>
    <n v="7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EDGE"/>
    <s v="MLR Edge KS RCB"/>
    <x v="0"/>
    <n v="7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LMRCB"/>
    <s v="L&amp;M Red KS RCB"/>
    <x v="0"/>
    <n v="12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RSVRCB"/>
    <s v="PL Reserve KS RCB"/>
    <x v="0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LAB100RCB"/>
    <s v="LARK Blue 100 RCB"/>
    <x v="0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TBLUE"/>
    <s v="MLR Touch Blue"/>
    <x v="0"/>
    <n v="10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ABS100"/>
    <s v="PL Aqua B.Slims 100 RCB"/>
    <x v="0"/>
    <n v="1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CHNB100RCB"/>
    <s v="CH NavyB 100 RCB"/>
    <x v="0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TONE"/>
    <s v="MLR Touch White"/>
    <x v="0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100"/>
    <s v="PL Night 100"/>
    <x v="0"/>
    <n v="7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FTB"/>
    <s v="MLR KS Box"/>
    <x v="0"/>
    <n v="7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ROLL50"/>
    <s v="MLR Roll 50"/>
    <x v="1"/>
    <n v="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CHNAVYBRCB"/>
    <s v="CH NAVY BLUE RCB"/>
    <x v="0"/>
    <n v="1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RC"/>
    <s v="PL Night KS RCB"/>
    <x v="0"/>
    <n v="11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UARCB"/>
    <s v="MUA Rosso KS RCB"/>
    <x v="0"/>
    <n v="14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PLLONGRCB"/>
    <s v="PL Night Blue Long RCB"/>
    <x v="3"/>
    <n v="5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MLEDBLUE"/>
    <s v="MLR Edge Blue KS RCB"/>
    <x v="0"/>
    <n v="40"/>
    <s v="VADE"/>
    <s v="06.11.2025 15:39:00"/>
    <s v="07.11.2025 00:00:00"/>
    <n v="39"/>
  </r>
  <r>
    <s v="D3JDR03"/>
    <x v="12"/>
    <s v="D3J121573253121"/>
    <s v="D3J121573"/>
    <s v="AHMET KOCA GIDA HAYV. TARIM İNŞ. PETROL SAN. VE TİC. LTD. ŞTİ."/>
    <s v="LM100RCB"/>
    <s v="L&amp;M Red 100 RCB"/>
    <x v="0"/>
    <n v="10"/>
    <s v="VADE"/>
    <s v="06.11.2025 15:39:00"/>
    <s v="07.11.2025 00:00:00"/>
    <n v="39"/>
  </r>
  <r>
    <s v="D3JDR09"/>
    <x v="6"/>
    <s v="D3J197971253121"/>
    <s v="D3J197971"/>
    <s v="EMRAH GIDA-MERYEM ERTEN"/>
    <s v="PLMNRCB"/>
    <s v="PL Midnight Blue RCB"/>
    <x v="0"/>
    <n v="1"/>
    <s v="HAVALE"/>
    <s v="06.11.2025 15:20:00"/>
    <s v="07.11.2025 00:00:00"/>
    <n v="21"/>
  </r>
  <r>
    <s v="D3JDR09"/>
    <x v="6"/>
    <s v="D3J197971253121"/>
    <s v="D3J197971"/>
    <s v="EMRAH GIDA-MERYEM ERTEN"/>
    <s v="MLR100"/>
    <s v="MLR 100"/>
    <x v="0"/>
    <n v="2"/>
    <s v="HAVALE"/>
    <s v="06.11.2025 15:20:00"/>
    <s v="07.11.2025 00:00:00"/>
    <n v="21"/>
  </r>
  <r>
    <s v="D3JDR09"/>
    <x v="6"/>
    <s v="D3J197971253121"/>
    <s v="D3J197971"/>
    <s v="EMRAH GIDA-MERYEM ERTEN"/>
    <s v="PLRSVRCB"/>
    <s v="PL Reserve KS RCB"/>
    <x v="0"/>
    <n v="1"/>
    <s v="HAVALE"/>
    <s v="06.11.2025 15:20:00"/>
    <s v="07.11.2025 00:00:00"/>
    <n v="21"/>
  </r>
  <r>
    <s v="D3JDR09"/>
    <x v="6"/>
    <s v="D3J197971253121"/>
    <s v="D3J197971"/>
    <s v="EMRAH GIDA-MERYEM ERTEN"/>
    <s v="MLTBLUE"/>
    <s v="MLR Touch Blue"/>
    <x v="0"/>
    <n v="2"/>
    <s v="HAVALE"/>
    <s v="06.11.2025 15:20:00"/>
    <s v="07.11.2025 00:00:00"/>
    <n v="21"/>
  </r>
  <r>
    <s v="D3JDR09"/>
    <x v="6"/>
    <s v="D3J197971253121"/>
    <s v="D3J197971"/>
    <s v="EMRAH GIDA-MERYEM ERTEN"/>
    <s v="MLTONE"/>
    <s v="MLR Touch White"/>
    <x v="0"/>
    <n v="1"/>
    <s v="HAVALE"/>
    <s v="06.11.2025 15:20:00"/>
    <s v="07.11.2025 00:00:00"/>
    <n v="21"/>
  </r>
  <r>
    <s v="D3JDR09"/>
    <x v="6"/>
    <s v="D3J197971253121"/>
    <s v="D3J197971"/>
    <s v="EMRAH GIDA-MERYEM ERTEN"/>
    <s v="PL100"/>
    <s v="PL Night 100"/>
    <x v="0"/>
    <n v="2"/>
    <s v="HAVALE"/>
    <s v="06.11.2025 15:20:00"/>
    <s v="07.11.2025 00:00:00"/>
    <n v="21"/>
  </r>
  <r>
    <s v="D3JDR09"/>
    <x v="6"/>
    <s v="D3J197971253121"/>
    <s v="D3J197971"/>
    <s v="EMRAH GIDA-MERYEM ERTEN"/>
    <s v="MFTB"/>
    <s v="MLR KS Box"/>
    <x v="0"/>
    <n v="1"/>
    <s v="HAVALE"/>
    <s v="06.11.2025 15:20:00"/>
    <s v="07.11.2025 00:00:00"/>
    <n v="21"/>
  </r>
  <r>
    <s v="D3JDR09"/>
    <x v="6"/>
    <s v="D3J197971253121"/>
    <s v="D3J197971"/>
    <s v="EMRAH GIDA-MERYEM ERTEN"/>
    <s v="MLTGRAY"/>
    <s v="MLR Touch Gray"/>
    <x v="3"/>
    <n v="0"/>
    <s v="HAVALE"/>
    <s v="06.11.2025 15:20:00"/>
    <s v="07.11.2025 00:00:00"/>
    <n v="21"/>
  </r>
  <r>
    <s v="D3JDR09"/>
    <x v="6"/>
    <s v="D3J197971253121"/>
    <s v="D3J197971"/>
    <s v="EMRAH GIDA-MERYEM ERTEN"/>
    <s v="PLRC"/>
    <s v="PL Night KS RCB"/>
    <x v="0"/>
    <n v="4"/>
    <s v="HAVALE"/>
    <s v="06.11.2025 15:20:00"/>
    <s v="07.11.2025 00:00:00"/>
    <n v="21"/>
  </r>
  <r>
    <s v="D3JDR09"/>
    <x v="6"/>
    <s v="D3J197971253121"/>
    <s v="D3J197971"/>
    <s v="EMRAH GIDA-MERYEM ERTEN"/>
    <s v="PLLONGRCB"/>
    <s v="PL Night Blue Long RCB"/>
    <x v="3"/>
    <n v="0"/>
    <s v="HAVALE"/>
    <s v="06.11.2025 15:20:00"/>
    <s v="07.11.2025 00:00:00"/>
    <n v="21"/>
  </r>
  <r>
    <s v="D3JDR14"/>
    <x v="8"/>
    <s v="D3J238058253121"/>
    <s v="D3J238058"/>
    <s v="SAFA GIDA-SEFA YARAŞ"/>
    <s v="PLLRC"/>
    <s v="PL Aqua B.KS RCB"/>
    <x v="0"/>
    <n v="1"/>
    <s v="HAVALE"/>
    <s v="06.11.2025 15:02:00"/>
    <s v="07.11.2025 00:00:00"/>
    <n v="43"/>
  </r>
  <r>
    <s v="D3JDR14"/>
    <x v="8"/>
    <s v="D3J238058253121"/>
    <s v="D3J238058"/>
    <s v="SAFA GIDA-SEFA YARAŞ"/>
    <s v="MLEDGE"/>
    <s v="MLR Edge KS RCB"/>
    <x v="0"/>
    <n v="5"/>
    <s v="HAVALE"/>
    <s v="06.11.2025 15:02:00"/>
    <s v="07.11.2025 00:00:00"/>
    <n v="43"/>
  </r>
  <r>
    <s v="D3JDR14"/>
    <x v="8"/>
    <s v="D3J238058253121"/>
    <s v="D3J238058"/>
    <s v="SAFA GIDA-SEFA YARAŞ"/>
    <s v="LMRCB"/>
    <s v="L&amp;M Red KS RCB"/>
    <x v="0"/>
    <n v="1"/>
    <s v="HAVALE"/>
    <s v="06.11.2025 15:02:00"/>
    <s v="07.11.2025 00:00:00"/>
    <n v="43"/>
  </r>
  <r>
    <s v="D3JDR14"/>
    <x v="8"/>
    <s v="D3J238058253121"/>
    <s v="D3J238058"/>
    <s v="SAFA GIDA-SEFA YARAŞ"/>
    <s v="MLTBLUE"/>
    <s v="MLR Touch Blue"/>
    <x v="0"/>
    <n v="3"/>
    <s v="HAVALE"/>
    <s v="06.11.2025 15:02:00"/>
    <s v="07.11.2025 00:00:00"/>
    <n v="43"/>
  </r>
  <r>
    <s v="D3JDR14"/>
    <x v="8"/>
    <s v="D3J238058253121"/>
    <s v="D3J238058"/>
    <s v="SAFA GIDA-SEFA YARAŞ"/>
    <s v="CHNB100RCB"/>
    <s v="CH NavyB 100 RCB"/>
    <x v="0"/>
    <n v="1"/>
    <s v="HAVALE"/>
    <s v="06.11.2025 15:02:00"/>
    <s v="07.11.2025 00:00:00"/>
    <n v="43"/>
  </r>
  <r>
    <s v="D3JDR14"/>
    <x v="8"/>
    <s v="D3J238058253121"/>
    <s v="D3J238058"/>
    <s v="SAFA GIDA-SEFA YARAŞ"/>
    <s v="PL100"/>
    <s v="PL Night 100"/>
    <x v="0"/>
    <n v="4"/>
    <s v="HAVALE"/>
    <s v="06.11.2025 15:02:00"/>
    <s v="07.11.2025 00:00:00"/>
    <n v="43"/>
  </r>
  <r>
    <s v="D3JDR14"/>
    <x v="8"/>
    <s v="D3J238058253121"/>
    <s v="D3J238058"/>
    <s v="SAFA GIDA-SEFA YARAŞ"/>
    <s v="MLEDSLIMS"/>
    <s v="MLR Edge Slims 100 RCB"/>
    <x v="2"/>
    <n v="0"/>
    <s v="HAVALE"/>
    <s v="06.11.2025 15:02:00"/>
    <s v="07.11.2025 00:00:00"/>
    <n v="43"/>
  </r>
  <r>
    <s v="D3JDR14"/>
    <x v="8"/>
    <s v="D3J238058253121"/>
    <s v="D3J238058"/>
    <s v="SAFA GIDA-SEFA YARAŞ"/>
    <s v="LM100RCB"/>
    <s v="L&amp;M Red 100 RCB"/>
    <x v="0"/>
    <n v="1"/>
    <s v="HAVALE"/>
    <s v="06.11.2025 15:02:00"/>
    <s v="07.11.2025 00:00:00"/>
    <n v="43"/>
  </r>
  <r>
    <s v="D3JDR07"/>
    <x v="4"/>
    <s v="D3J045837253121"/>
    <s v="D3J045837"/>
    <s v="YÜKSEL BAKKAL-MEHMET YÜKSEL"/>
    <s v="PLMNRCB"/>
    <s v="PL Midnight Blue RCB"/>
    <x v="0"/>
    <n v="2"/>
    <s v="HAVALE"/>
    <s v="06.11.2025 15:00:00"/>
    <s v="07.11.2025 00:00:00"/>
    <n v="38"/>
  </r>
  <r>
    <s v="D3JDR07"/>
    <x v="4"/>
    <s v="D3J045837253121"/>
    <s v="D3J045837"/>
    <s v="YÜKSEL BAKKAL-MEHMET YÜKSEL"/>
    <s v="MLEDGE"/>
    <s v="MLR Edge KS RCB"/>
    <x v="0"/>
    <n v="5"/>
    <s v="HAVALE"/>
    <s v="06.11.2025 15:00:00"/>
    <s v="07.11.2025 00:00:00"/>
    <n v="38"/>
  </r>
  <r>
    <s v="D3JDR07"/>
    <x v="4"/>
    <s v="D3J045837253121"/>
    <s v="D3J045837"/>
    <s v="YÜKSEL BAKKAL-MEHMET YÜKSEL"/>
    <s v="MLTGRAY"/>
    <s v="MLR Touch Gray"/>
    <x v="0"/>
    <n v="1"/>
    <s v="HAVALE"/>
    <s v="06.11.2025 15:00:00"/>
    <s v="07.11.2025 00:00:00"/>
    <n v="38"/>
  </r>
  <r>
    <s v="D3JDR07"/>
    <x v="4"/>
    <s v="D3J045837253121"/>
    <s v="D3J045837"/>
    <s v="YÜKSEL BAKKAL-MEHMET YÜKSEL"/>
    <s v="CHNAVYBRCB"/>
    <s v="CH NAVY BLUE RCB"/>
    <x v="0"/>
    <n v="1"/>
    <s v="HAVALE"/>
    <s v="06.11.2025 15:00:00"/>
    <s v="07.11.2025 00:00:00"/>
    <n v="38"/>
  </r>
  <r>
    <s v="D3JDR07"/>
    <x v="4"/>
    <s v="D3J128384253121"/>
    <s v="D3J128384"/>
    <s v="AZİM BAKKAL-SABRİ KARAHAN"/>
    <s v="PLMNRCB"/>
    <s v="PL Midnight Blue RCB"/>
    <x v="0"/>
    <n v="3"/>
    <s v="HAVALE"/>
    <s v="06.11.2025 14:54:00"/>
    <s v="07.11.2025 00:00:00"/>
    <n v="26"/>
  </r>
  <r>
    <s v="D3JDR07"/>
    <x v="4"/>
    <s v="D3J128384253121"/>
    <s v="D3J128384"/>
    <s v="AZİM BAKKAL-SABRİ KARAHAN"/>
    <s v="MLEDGE"/>
    <s v="MLR Edge KS RCB"/>
    <x v="0"/>
    <n v="18"/>
    <s v="HAVALE"/>
    <s v="06.11.2025 14:54:00"/>
    <s v="07.11.2025 00:00:00"/>
    <n v="26"/>
  </r>
  <r>
    <s v="D3JDR07"/>
    <x v="4"/>
    <s v="D3J128384253121"/>
    <s v="D3J128384"/>
    <s v="AZİM BAKKAL-SABRİ KARAHAN"/>
    <s v="LMRCB"/>
    <s v="L&amp;M Red KS RCB"/>
    <x v="0"/>
    <n v="1"/>
    <s v="HAVALE"/>
    <s v="06.11.2025 14:54:00"/>
    <s v="07.11.2025 00:00:00"/>
    <n v="26"/>
  </r>
  <r>
    <s v="D3JDR07"/>
    <x v="4"/>
    <s v="D3J128384253121"/>
    <s v="D3J128384"/>
    <s v="AZİM BAKKAL-SABRİ KARAHAN"/>
    <s v="MLTBLUE"/>
    <s v="MLR Touch Blue"/>
    <x v="0"/>
    <n v="6"/>
    <s v="HAVALE"/>
    <s v="06.11.2025 14:54:00"/>
    <s v="07.11.2025 00:00:00"/>
    <n v="26"/>
  </r>
  <r>
    <s v="D3JDR07"/>
    <x v="4"/>
    <s v="D3J128384253121"/>
    <s v="D3J128384"/>
    <s v="AZİM BAKKAL-SABRİ KARAHAN"/>
    <s v="PL100"/>
    <s v="PL Night 100"/>
    <x v="0"/>
    <n v="3"/>
    <s v="HAVALE"/>
    <s v="06.11.2025 14:54:00"/>
    <s v="07.11.2025 00:00:00"/>
    <n v="26"/>
  </r>
  <r>
    <s v="D3JDR07"/>
    <x v="4"/>
    <s v="D3J128384253121"/>
    <s v="D3J128384"/>
    <s v="AZİM BAKKAL-SABRİ KARAHAN"/>
    <s v="MFTB"/>
    <s v="MLR KS Box"/>
    <x v="0"/>
    <n v="1"/>
    <s v="HAVALE"/>
    <s v="06.11.2025 14:54:00"/>
    <s v="07.11.2025 00:00:00"/>
    <n v="26"/>
  </r>
  <r>
    <s v="D3JDR07"/>
    <x v="4"/>
    <s v="D3J128384253121"/>
    <s v="D3J128384"/>
    <s v="AZİM BAKKAL-SABRİ KARAHAN"/>
    <s v="MLTGRAY"/>
    <s v="MLR Touch Gray"/>
    <x v="0"/>
    <n v="1"/>
    <s v="HAVALE"/>
    <s v="06.11.2025 14:54:00"/>
    <s v="07.11.2025 00:00:00"/>
    <n v="26"/>
  </r>
  <r>
    <s v="D3JDR07"/>
    <x v="4"/>
    <s v="D3J128384253121"/>
    <s v="D3J128384"/>
    <s v="AZİM BAKKAL-SABRİ KARAHAN"/>
    <s v="LARKBRCB"/>
    <s v="LARK Blue Rec RCB"/>
    <x v="0"/>
    <n v="1"/>
    <s v="HAVALE"/>
    <s v="06.11.2025 14:54:00"/>
    <s v="07.11.2025 00:00:00"/>
    <n v="26"/>
  </r>
  <r>
    <s v="D3JDR07"/>
    <x v="4"/>
    <s v="D3J128384253121"/>
    <s v="D3J128384"/>
    <s v="AZİM BAKKAL-SABRİ KARAHAN"/>
    <s v="PLRC"/>
    <s v="PL Night KS RCB"/>
    <x v="0"/>
    <n v="6"/>
    <s v="HAVALE"/>
    <s v="06.11.2025 14:54:00"/>
    <s v="07.11.2025 00:00:00"/>
    <n v="26"/>
  </r>
  <r>
    <s v="D3JDR07"/>
    <x v="4"/>
    <s v="D3J128384253121"/>
    <s v="D3J128384"/>
    <s v="AZİM BAKKAL-SABRİ KARAHAN"/>
    <s v="MUARCB"/>
    <s v="MUA Rosso KS RCB"/>
    <x v="0"/>
    <n v="1"/>
    <s v="HAVALE"/>
    <s v="06.11.2025 14:54:00"/>
    <s v="07.11.2025 00:00:00"/>
    <n v="26"/>
  </r>
  <r>
    <s v="D3JDR07"/>
    <x v="4"/>
    <s v="D3J128384253121"/>
    <s v="D3J128384"/>
    <s v="AZİM BAKKAL-SABRİ KARAHAN"/>
    <s v="PLLONGRCB"/>
    <s v="PL Night Blue Long RCB"/>
    <x v="3"/>
    <n v="0"/>
    <s v="HAVALE"/>
    <s v="06.11.2025 14:54:00"/>
    <s v="07.11.2025 00:00:00"/>
    <n v="26"/>
  </r>
  <r>
    <s v="D3JDR01"/>
    <x v="1"/>
    <s v="D3J180453253121"/>
    <s v="D3J180453"/>
    <s v="KAYALAR TÜTÜN-VEZİR ÇAKA"/>
    <s v="PLMNRCB"/>
    <s v="PL Midnight Blue RCB"/>
    <x v="0"/>
    <n v="2"/>
    <s v="CASH"/>
    <s v="06.11.2025 14:54:00"/>
    <s v="07.11.2025 00:00:00"/>
    <n v="27"/>
  </r>
  <r>
    <s v="D3JDR01"/>
    <x v="1"/>
    <s v="D3J180453253121"/>
    <s v="D3J180453"/>
    <s v="KAYALAR TÜTÜN-VEZİR ÇAKA"/>
    <s v="PLLRC"/>
    <s v="PL Aqua B.KS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MLEDGE"/>
    <s v="MLR Edge KS RCB"/>
    <x v="0"/>
    <n v="3"/>
    <s v="CASH"/>
    <s v="06.11.2025 14:54:00"/>
    <s v="07.11.2025 00:00:00"/>
    <n v="27"/>
  </r>
  <r>
    <s v="D3JDR01"/>
    <x v="1"/>
    <s v="D3J180453253121"/>
    <s v="D3J180453"/>
    <s v="KAYALAR TÜTÜN-VEZİR ÇAKA"/>
    <s v="LMRCB"/>
    <s v="L&amp;M Red KS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PLRSVRCB"/>
    <s v="PL Reserve KS RCB"/>
    <x v="0"/>
    <n v="1"/>
    <s v="CASH"/>
    <s v="06.11.2025 14:54:00"/>
    <s v="07.11.2025 00:00:00"/>
    <n v="27"/>
  </r>
  <r>
    <s v="D3JDR01"/>
    <x v="1"/>
    <s v="D3J180453253121"/>
    <s v="D3J180453"/>
    <s v="KAYALAR TÜTÜN-VEZİR ÇAKA"/>
    <s v="LAB100RCB"/>
    <s v="LARK Blue 100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MLTBLUE"/>
    <s v="MLR Touch Blue"/>
    <x v="0"/>
    <n v="3"/>
    <s v="CASH"/>
    <s v="06.11.2025 14:54:00"/>
    <s v="07.11.2025 00:00:00"/>
    <n v="27"/>
  </r>
  <r>
    <s v="D3JDR01"/>
    <x v="1"/>
    <s v="D3J180453253121"/>
    <s v="D3J180453"/>
    <s v="KAYALAR TÜTÜN-VEZİR ÇAKA"/>
    <s v="PLABS100"/>
    <s v="PL Aqua B.Slims 100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PL100"/>
    <s v="PL Night 100"/>
    <x v="0"/>
    <n v="2"/>
    <s v="CASH"/>
    <s v="06.11.2025 14:54:00"/>
    <s v="07.11.2025 00:00:00"/>
    <n v="27"/>
  </r>
  <r>
    <s v="D3JDR01"/>
    <x v="1"/>
    <s v="D3J180453253121"/>
    <s v="D3J180453"/>
    <s v="KAYALAR TÜTÜN-VEZİR ÇAKA"/>
    <s v="MLTGRAY"/>
    <s v="MLR Touch Gray"/>
    <x v="3"/>
    <n v="0"/>
    <s v="CASH"/>
    <s v="06.11.2025 14:54:00"/>
    <s v="07.11.2025 00:00:00"/>
    <n v="27"/>
  </r>
  <r>
    <s v="D3JDR01"/>
    <x v="1"/>
    <s v="D3J180453253121"/>
    <s v="D3J180453"/>
    <s v="KAYALAR TÜTÜN-VEZİR ÇAKA"/>
    <s v="CHNAVYBRCB"/>
    <s v="CH NAVY BLUE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PLRC"/>
    <s v="PL Night KS RCB"/>
    <x v="0"/>
    <n v="5"/>
    <s v="CASH"/>
    <s v="06.11.2025 14:54:00"/>
    <s v="07.11.2025 00:00:00"/>
    <n v="27"/>
  </r>
  <r>
    <s v="D3JDR01"/>
    <x v="1"/>
    <s v="D3J180453253121"/>
    <s v="D3J180453"/>
    <s v="KAYALAR TÜTÜN-VEZİR ÇAKA"/>
    <s v="MLEDSLIMS"/>
    <s v="MLR Edge Slims 100 RCB"/>
    <x v="0"/>
    <n v="1"/>
    <s v="CASH"/>
    <s v="06.11.2025 14:54:00"/>
    <s v="07.11.2025 00:00:00"/>
    <n v="27"/>
  </r>
  <r>
    <s v="D3JDR01"/>
    <x v="1"/>
    <s v="D3J180453253121"/>
    <s v="D3J180453"/>
    <s v="KAYALAR TÜTÜN-VEZİR ÇAKA"/>
    <s v="MUARCB"/>
    <s v="MUA Rosso KS RCB"/>
    <x v="1"/>
    <n v="0"/>
    <s v="CASH"/>
    <s v="06.11.2025 14:54:00"/>
    <s v="07.11.2025 00:00:00"/>
    <n v="27"/>
  </r>
  <r>
    <s v="D3JDR01"/>
    <x v="1"/>
    <s v="D3J180453253121"/>
    <s v="D3J180453"/>
    <s v="KAYALAR TÜTÜN-VEZİR ÇAKA"/>
    <s v="LM100RCB"/>
    <s v="L&amp;M Red 100 RCB"/>
    <x v="1"/>
    <n v="0"/>
    <s v="CASH"/>
    <s v="06.11.2025 14:54:00"/>
    <s v="07.11.2025 00:00:00"/>
    <n v="27"/>
  </r>
  <r>
    <s v="D3JDR05"/>
    <x v="3"/>
    <s v="D3J163942253121"/>
    <s v="D3J163942"/>
    <s v="SELÇUKLU BAKKAL - AHMET ERTAŞ"/>
    <s v="PLMNRCB"/>
    <s v="PL Midnight Blue RCB"/>
    <x v="0"/>
    <n v="1"/>
    <s v="CASH"/>
    <s v="06.11.2025 14:53:00"/>
    <s v="07.11.2025 00:00:00"/>
    <n v="28"/>
  </r>
  <r>
    <s v="D3JDR05"/>
    <x v="3"/>
    <s v="D3J163942253121"/>
    <s v="D3J163942"/>
    <s v="SELÇUKLU BAKKAL - AHMET ERTAŞ"/>
    <s v="MLR100"/>
    <s v="MLR 100"/>
    <x v="0"/>
    <n v="1"/>
    <s v="CASH"/>
    <s v="06.11.2025 14:53:00"/>
    <s v="07.11.2025 00:00:00"/>
    <n v="28"/>
  </r>
  <r>
    <s v="D3JDR05"/>
    <x v="3"/>
    <s v="D3J163942253121"/>
    <s v="D3J163942"/>
    <s v="SELÇUKLU BAKKAL - AHMET ERTAŞ"/>
    <s v="LMRCB"/>
    <s v="L&amp;M Red KS RCB"/>
    <x v="0"/>
    <n v="1"/>
    <s v="CASH"/>
    <s v="06.11.2025 14:53:00"/>
    <s v="07.11.2025 00:00:00"/>
    <n v="28"/>
  </r>
  <r>
    <s v="D3JDR05"/>
    <x v="3"/>
    <s v="D3J163942253121"/>
    <s v="D3J163942"/>
    <s v="SELÇUKLU BAKKAL - AHMET ERTAŞ"/>
    <s v="PLRSVRCB"/>
    <s v="PL Reserve KS RCB"/>
    <x v="1"/>
    <n v="0"/>
    <s v="CASH"/>
    <s v="06.11.2025 14:53:00"/>
    <s v="07.11.2025 00:00:00"/>
    <n v="28"/>
  </r>
  <r>
    <s v="D3JDR05"/>
    <x v="3"/>
    <s v="D3J163942253121"/>
    <s v="D3J163942"/>
    <s v="SELÇUKLU BAKKAL - AHMET ERTAŞ"/>
    <s v="MLTBLUE"/>
    <s v="MLR Touch Blue"/>
    <x v="0"/>
    <n v="5"/>
    <s v="CASH"/>
    <s v="06.11.2025 14:53:00"/>
    <s v="07.11.2025 00:00:00"/>
    <n v="28"/>
  </r>
  <r>
    <s v="D3JDR05"/>
    <x v="3"/>
    <s v="D3J163942253121"/>
    <s v="D3J163942"/>
    <s v="SELÇUKLU BAKKAL - AHMET ERTAŞ"/>
    <s v="PLABS100"/>
    <s v="PL Aqua B.Slims 100 RCB"/>
    <x v="1"/>
    <n v="0"/>
    <s v="CASH"/>
    <s v="06.11.2025 14:53:00"/>
    <s v="07.11.2025 00:00:00"/>
    <n v="28"/>
  </r>
  <r>
    <s v="D3JDR05"/>
    <x v="3"/>
    <s v="D3J163942253121"/>
    <s v="D3J163942"/>
    <s v="SELÇUKLU BAKKAL - AHMET ERTAŞ"/>
    <s v="CHNB100RCB"/>
    <s v="CH NavyB 100 RCB"/>
    <x v="0"/>
    <n v="1"/>
    <s v="CASH"/>
    <s v="06.11.2025 14:53:00"/>
    <s v="07.11.2025 00:00:00"/>
    <n v="28"/>
  </r>
  <r>
    <s v="D3JDR05"/>
    <x v="3"/>
    <s v="D3J163942253121"/>
    <s v="D3J163942"/>
    <s v="SELÇUKLU BAKKAL - AHMET ERTAŞ"/>
    <s v="PL100"/>
    <s v="PL Night 100"/>
    <x v="0"/>
    <n v="4"/>
    <s v="CASH"/>
    <s v="06.11.2025 14:53:00"/>
    <s v="07.11.2025 00:00:00"/>
    <n v="28"/>
  </r>
  <r>
    <s v="D3JDR05"/>
    <x v="3"/>
    <s v="D3J163942253121"/>
    <s v="D3J163942"/>
    <s v="SELÇUKLU BAKKAL - AHMET ERTAŞ"/>
    <s v="MFTB"/>
    <s v="MLR KS Box"/>
    <x v="0"/>
    <n v="1"/>
    <s v="CASH"/>
    <s v="06.11.2025 14:53:00"/>
    <s v="07.11.2025 00:00:00"/>
    <n v="28"/>
  </r>
  <r>
    <s v="D3JDR05"/>
    <x v="3"/>
    <s v="D3J163942253121"/>
    <s v="D3J163942"/>
    <s v="SELÇUKLU BAKKAL - AHMET ERTAŞ"/>
    <s v="PLRC"/>
    <s v="PL Night KS RCB"/>
    <x v="0"/>
    <n v="5"/>
    <s v="CASH"/>
    <s v="06.11.2025 14:53:00"/>
    <s v="07.11.2025 00:00:00"/>
    <n v="28"/>
  </r>
  <r>
    <s v="D3JDR07"/>
    <x v="4"/>
    <s v="D3J004945253121"/>
    <s v="D3J004945"/>
    <s v="GÜLER BAKKAL-EMİN GÜLER"/>
    <s v="MLEDGE"/>
    <s v="MLR Edge KS RCB"/>
    <x v="0"/>
    <n v="3"/>
    <s v="CASH"/>
    <s v="06.11.2025 14:53:00"/>
    <s v="07.11.2025 00:00:00"/>
    <n v="33"/>
  </r>
  <r>
    <s v="D3JDR07"/>
    <x v="4"/>
    <s v="D3J004945253121"/>
    <s v="D3J004945"/>
    <s v="GÜLER BAKKAL-EMİN GÜLER"/>
    <s v="PLRC"/>
    <s v="PL Night KS RCB"/>
    <x v="0"/>
    <n v="1"/>
    <s v="CASH"/>
    <s v="06.11.2025 14:53:00"/>
    <s v="07.11.2025 00:00:00"/>
    <n v="33"/>
  </r>
  <r>
    <s v="D3JDR14"/>
    <x v="8"/>
    <s v="030040400253121"/>
    <s v="030040400"/>
    <s v="MEHMET ÖZYÜREK"/>
    <s v="PLMNRCB"/>
    <s v="PL Midnight Blue RCB"/>
    <x v="0"/>
    <n v="2"/>
    <s v="VADE"/>
    <s v="06.11.2025 14:52:00"/>
    <s v="07.11.2025 00:00:00"/>
    <n v="45"/>
  </r>
  <r>
    <s v="D3JDR14"/>
    <x v="8"/>
    <s v="030040400253121"/>
    <s v="030040400"/>
    <s v="MEHMET ÖZYÜREK"/>
    <s v="MLEDGE"/>
    <s v="MLR Edge KS RCB"/>
    <x v="0"/>
    <n v="15"/>
    <s v="VADE"/>
    <s v="06.11.2025 14:52:00"/>
    <s v="07.11.2025 00:00:00"/>
    <n v="45"/>
  </r>
  <r>
    <s v="D3JDR14"/>
    <x v="8"/>
    <s v="030040400253121"/>
    <s v="030040400"/>
    <s v="MEHMET ÖZYÜREK"/>
    <s v="PLRSVRCB"/>
    <s v="PL Reserve KS RCB"/>
    <x v="0"/>
    <n v="3"/>
    <s v="VADE"/>
    <s v="06.11.2025 14:52:00"/>
    <s v="07.11.2025 00:00:00"/>
    <n v="45"/>
  </r>
  <r>
    <s v="D3JDR14"/>
    <x v="8"/>
    <s v="030040400253121"/>
    <s v="030040400"/>
    <s v="MEHMET ÖZYÜREK"/>
    <s v="MLTBLUE"/>
    <s v="MLR Touch Blue"/>
    <x v="0"/>
    <n v="6"/>
    <s v="VADE"/>
    <s v="06.11.2025 14:52:00"/>
    <s v="07.11.2025 00:00:00"/>
    <n v="45"/>
  </r>
  <r>
    <s v="D3JDR14"/>
    <x v="8"/>
    <s v="030040400253121"/>
    <s v="030040400"/>
    <s v="MEHMET ÖZYÜREK"/>
    <s v="PLABS100"/>
    <s v="PL Aqua B.Slims 100 RCB"/>
    <x v="0"/>
    <n v="1"/>
    <s v="VADE"/>
    <s v="06.11.2025 14:52:00"/>
    <s v="07.11.2025 00:00:00"/>
    <n v="45"/>
  </r>
  <r>
    <s v="D3JDR14"/>
    <x v="8"/>
    <s v="030040400253121"/>
    <s v="030040400"/>
    <s v="MEHMET ÖZYÜREK"/>
    <s v="CHNB100RCB"/>
    <s v="CH NavyB 100 RCB"/>
    <x v="0"/>
    <n v="1"/>
    <s v="VADE"/>
    <s v="06.11.2025 14:52:00"/>
    <s v="07.11.2025 00:00:00"/>
    <n v="45"/>
  </r>
  <r>
    <s v="D3JDR14"/>
    <x v="8"/>
    <s v="030040400253121"/>
    <s v="030040400"/>
    <s v="MEHMET ÖZYÜREK"/>
    <s v="PL100"/>
    <s v="PL Night 100"/>
    <x v="0"/>
    <n v="3"/>
    <s v="VADE"/>
    <s v="06.11.2025 14:52:00"/>
    <s v="07.11.2025 00:00:00"/>
    <n v="45"/>
  </r>
  <r>
    <s v="D3JDR14"/>
    <x v="8"/>
    <s v="030040400253121"/>
    <s v="030040400"/>
    <s v="MEHMET ÖZYÜREK"/>
    <s v="CHNAVYBRCB"/>
    <s v="CH NAVY BLUE RCB"/>
    <x v="0"/>
    <n v="1"/>
    <s v="VADE"/>
    <s v="06.11.2025 14:52:00"/>
    <s v="07.11.2025 00:00:00"/>
    <n v="45"/>
  </r>
  <r>
    <s v="D3JDR14"/>
    <x v="8"/>
    <s v="030040400253121"/>
    <s v="030040400"/>
    <s v="MEHMET ÖZYÜREK"/>
    <s v="LARKBRCB"/>
    <s v="LARK Blue Rec RCB"/>
    <x v="0"/>
    <n v="1"/>
    <s v="VADE"/>
    <s v="06.11.2025 14:52:00"/>
    <s v="07.11.2025 00:00:00"/>
    <n v="45"/>
  </r>
  <r>
    <s v="D3JDR14"/>
    <x v="8"/>
    <s v="030040400253121"/>
    <s v="030040400"/>
    <s v="MEHMET ÖZYÜREK"/>
    <s v="PLRC"/>
    <s v="PL Night KS RCB"/>
    <x v="0"/>
    <n v="8"/>
    <s v="VADE"/>
    <s v="06.11.2025 14:52:00"/>
    <s v="07.11.2025 00:00:00"/>
    <n v="45"/>
  </r>
  <r>
    <s v="D3JDR14"/>
    <x v="8"/>
    <s v="030040400253121"/>
    <s v="030040400"/>
    <s v="MEHMET ÖZYÜREK"/>
    <s v="MUARCB"/>
    <s v="MUA Rosso KS RCB"/>
    <x v="0"/>
    <n v="1"/>
    <s v="VADE"/>
    <s v="06.11.2025 14:52:00"/>
    <s v="07.11.2025 00:00:00"/>
    <n v="45"/>
  </r>
  <r>
    <s v="D3JDR14"/>
    <x v="8"/>
    <s v="030040400253121"/>
    <s v="030040400"/>
    <s v="MEHMET ÖZYÜREK"/>
    <s v="MLEDBLUE"/>
    <s v="MLR Edge Blue KS RCB"/>
    <x v="0"/>
    <n v="2"/>
    <s v="VADE"/>
    <s v="06.11.2025 14:52:00"/>
    <s v="07.11.2025 00:00:00"/>
    <n v="45"/>
  </r>
  <r>
    <s v="D3JDR04"/>
    <x v="0"/>
    <s v="D3J005265253121"/>
    <s v="D3J005265"/>
    <s v="VEFA TURİZM SAN.TİC.LTD.ŞTİ."/>
    <s v="PLMNRCB"/>
    <s v="PL Midnight Blue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MLEDGE"/>
    <s v="MLR Edge KS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LAB100RCB"/>
    <s v="LARK Blue 100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PL100"/>
    <s v="PL Night 100"/>
    <x v="0"/>
    <n v="2"/>
    <s v="VADE"/>
    <s v="06.11.2025 14:52:00"/>
    <s v="07.11.2025 00:00:00"/>
    <n v="42"/>
  </r>
  <r>
    <s v="D3JDR04"/>
    <x v="0"/>
    <s v="D3J005265253121"/>
    <s v="D3J005265"/>
    <s v="VEFA TURİZM SAN.TİC.LTD.ŞTİ."/>
    <s v="LARKBRCB"/>
    <s v="LARK Blue Rec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PLRC"/>
    <s v="PL Night KS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MUARCB"/>
    <s v="MUA Rosso KS RCB"/>
    <x v="0"/>
    <n v="1"/>
    <s v="VADE"/>
    <s v="06.11.2025 14:52:00"/>
    <s v="07.11.2025 00:00:00"/>
    <n v="42"/>
  </r>
  <r>
    <s v="D3JDR04"/>
    <x v="0"/>
    <s v="D3J005265253121"/>
    <s v="D3J005265"/>
    <s v="VEFA TURİZM SAN.TİC.LTD.ŞTİ."/>
    <s v="MLEDBLUE"/>
    <s v="MLR Edge Blue KS RCB"/>
    <x v="0"/>
    <n v="1"/>
    <s v="VADE"/>
    <s v="06.11.2025 14:52:00"/>
    <s v="07.11.2025 00:00:00"/>
    <n v="42"/>
  </r>
  <r>
    <s v="D3JDR09"/>
    <x v="6"/>
    <s v="D3J005656253121"/>
    <s v="D3J005656"/>
    <s v="GÖRKEM BÜFE-RUMEYSA BÜYÜKDEMİR"/>
    <s v="PLMNRCB"/>
    <s v="PL Midnight Blue RCB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MLFTB"/>
    <s v="MLR Touch KS Box"/>
    <x v="1"/>
    <n v="0"/>
    <s v="VADE"/>
    <s v="06.11.2025 14:49:00"/>
    <s v="07.11.2025 00:00:00"/>
    <n v="22"/>
  </r>
  <r>
    <s v="D3JDR09"/>
    <x v="6"/>
    <s v="D3J005656253121"/>
    <s v="D3J005656"/>
    <s v="GÖRKEM BÜFE-RUMEYSA BÜYÜKDEMİR"/>
    <s v="MLR100"/>
    <s v="MLR 100"/>
    <x v="1"/>
    <n v="0"/>
    <s v="VADE"/>
    <s v="06.11.2025 14:49:00"/>
    <s v="07.11.2025 00:00:00"/>
    <n v="22"/>
  </r>
  <r>
    <s v="D3JDR09"/>
    <x v="6"/>
    <s v="D3J005656253121"/>
    <s v="D3J005656"/>
    <s v="GÖRKEM BÜFE-RUMEYSA BÜYÜKDEMİR"/>
    <s v="MLEDGE"/>
    <s v="MLR Edge KS RCB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MLTBLUE"/>
    <s v="MLR Touch Blue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PLABS100"/>
    <s v="PL Aqua B.Slims 100 RCB"/>
    <x v="1"/>
    <n v="0"/>
    <s v="VADE"/>
    <s v="06.11.2025 14:49:00"/>
    <s v="07.11.2025 00:00:00"/>
    <n v="22"/>
  </r>
  <r>
    <s v="D3JDR09"/>
    <x v="6"/>
    <s v="D3J005656253121"/>
    <s v="D3J005656"/>
    <s v="GÖRKEM BÜFE-RUMEYSA BÜYÜKDEMİR"/>
    <s v="PL100"/>
    <s v="PL Night 100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MLTGRAY"/>
    <s v="MLR Touch Gray"/>
    <x v="4"/>
    <n v="0"/>
    <s v="VADE"/>
    <s v="06.11.2025 14:49:00"/>
    <s v="07.11.2025 00:00:00"/>
    <n v="22"/>
  </r>
  <r>
    <s v="D3JDR09"/>
    <x v="6"/>
    <s v="D3J005656253121"/>
    <s v="D3J005656"/>
    <s v="GÖRKEM BÜFE-RUMEYSA BÜYÜKDEMİR"/>
    <s v="CHNAVYBRCB"/>
    <s v="CH NAVY BLUE RCB"/>
    <x v="1"/>
    <n v="0"/>
    <s v="VADE"/>
    <s v="06.11.2025 14:49:00"/>
    <s v="07.11.2025 00:00:00"/>
    <n v="22"/>
  </r>
  <r>
    <s v="D3JDR09"/>
    <x v="6"/>
    <s v="D3J005656253121"/>
    <s v="D3J005656"/>
    <s v="GÖRKEM BÜFE-RUMEYSA BÜYÜKDEMİR"/>
    <s v="PLRC"/>
    <s v="PL Night KS RCB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MLEDSLIMS"/>
    <s v="MLR Edge Slims 100 RCB"/>
    <x v="0"/>
    <n v="1"/>
    <s v="VADE"/>
    <s v="06.11.2025 14:49:00"/>
    <s v="07.11.2025 00:00:00"/>
    <n v="22"/>
  </r>
  <r>
    <s v="D3JDR09"/>
    <x v="6"/>
    <s v="D3J005656253121"/>
    <s v="D3J005656"/>
    <s v="GÖRKEM BÜFE-RUMEYSA BÜYÜKDEMİR"/>
    <s v="MUARCB"/>
    <s v="MUA Rosso KS RCB"/>
    <x v="1"/>
    <n v="0"/>
    <s v="VADE"/>
    <s v="06.11.2025 14:49:00"/>
    <s v="07.11.2025 00:00:00"/>
    <n v="22"/>
  </r>
  <r>
    <s v="D3JDR02"/>
    <x v="13"/>
    <s v="D3J175089253121"/>
    <s v="D3J175089"/>
    <s v="YEŞİL HATIP MANDIRA KURUYEMİŞ - HASAN HÜSEYİN UYAR"/>
    <s v="MLR100"/>
    <s v="MLR 100"/>
    <x v="0"/>
    <n v="1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CHMODENAVY"/>
    <s v="CH MODE NAVY"/>
    <x v="2"/>
    <n v="0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MLEDGE"/>
    <s v="MLR Edge KS RCB"/>
    <x v="0"/>
    <n v="5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LMRCB"/>
    <s v="L&amp;M Red KS RCB"/>
    <x v="0"/>
    <n v="2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PLRSVRCB"/>
    <s v="PL Reserve KS RCB"/>
    <x v="1"/>
    <n v="0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MLTBLUE"/>
    <s v="MLR Touch Blue"/>
    <x v="0"/>
    <n v="4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PL100"/>
    <s v="PL Night 100"/>
    <x v="0"/>
    <n v="4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MFTB"/>
    <s v="MLR KS Box"/>
    <x v="1"/>
    <n v="0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MLROLL50"/>
    <s v="MLR Roll 50"/>
    <x v="2"/>
    <n v="0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LARKBRCB"/>
    <s v="LARK Blue Rec RCB"/>
    <x v="0"/>
    <n v="1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PLRC"/>
    <s v="PL Night KS RCB"/>
    <x v="0"/>
    <n v="7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MUARCB"/>
    <s v="MUA Rosso KS RCB"/>
    <x v="1"/>
    <n v="0"/>
    <s v="VADE"/>
    <s v="06.11.2025 14:49:00"/>
    <s v="07.11.2025 00:00:00"/>
    <n v="32"/>
  </r>
  <r>
    <s v="D3JDR02"/>
    <x v="13"/>
    <s v="D3J175089253121"/>
    <s v="D3J175089"/>
    <s v="YEŞİL HATIP MANDIRA KURUYEMİŞ - HASAN HÜSEYİN UYAR"/>
    <s v="PLLONGRCB"/>
    <s v="PL Night Blue Long RCB"/>
    <x v="4"/>
    <n v="0"/>
    <s v="VADE"/>
    <s v="06.11.2025 14:49:00"/>
    <s v="07.11.2025 00:00:00"/>
    <n v="32"/>
  </r>
  <r>
    <s v="D3JDR08"/>
    <x v="5"/>
    <s v="D3J222365253121"/>
    <s v="D3J222365"/>
    <s v="ŞAM KARDEŞLER-İSMAİL HAMAMİ"/>
    <s v="MLEDGE"/>
    <s v="MLR Edge KS RCB"/>
    <x v="0"/>
    <n v="1"/>
    <s v="HAVALE"/>
    <s v="06.11.2025 14:48:00"/>
    <s v="07.11.2025 00:00:00"/>
    <n v="34"/>
  </r>
  <r>
    <s v="D3JDR08"/>
    <x v="5"/>
    <s v="D3J222365253121"/>
    <s v="D3J222365"/>
    <s v="ŞAM KARDEŞLER-İSMAİL HAMAMİ"/>
    <s v="MLTBLUE"/>
    <s v="MLR Touch Blue"/>
    <x v="0"/>
    <n v="2"/>
    <s v="HAVALE"/>
    <s v="06.11.2025 14:48:00"/>
    <s v="07.11.2025 00:00:00"/>
    <n v="34"/>
  </r>
  <r>
    <s v="D3JDR08"/>
    <x v="5"/>
    <s v="D3J222365253121"/>
    <s v="D3J222365"/>
    <s v="ŞAM KARDEŞLER-İSMAİL HAMAMİ"/>
    <s v="PL100"/>
    <s v="PL Night 100"/>
    <x v="0"/>
    <n v="1"/>
    <s v="HAVALE"/>
    <s v="06.11.2025 14:48:00"/>
    <s v="07.11.2025 00:00:00"/>
    <n v="34"/>
  </r>
  <r>
    <s v="D3JDR08"/>
    <x v="5"/>
    <s v="D3J222365253121"/>
    <s v="D3J222365"/>
    <s v="ŞAM KARDEŞLER-İSMAİL HAMAMİ"/>
    <s v="LARKBRCB"/>
    <s v="LARK Blue Rec RCB"/>
    <x v="1"/>
    <n v="0"/>
    <s v="HAVALE"/>
    <s v="06.11.2025 14:48:00"/>
    <s v="07.11.2025 00:00:00"/>
    <n v="34"/>
  </r>
  <r>
    <s v="D3JDR08"/>
    <x v="5"/>
    <s v="D3J222365253121"/>
    <s v="D3J222365"/>
    <s v="ŞAM KARDEŞLER-İSMAİL HAMAMİ"/>
    <s v="PLRC"/>
    <s v="PL Night KS RCB"/>
    <x v="0"/>
    <n v="2"/>
    <s v="HAVALE"/>
    <s v="06.11.2025 14:48:00"/>
    <s v="07.11.2025 00:00:00"/>
    <n v="34"/>
  </r>
  <r>
    <s v="D3JDR08"/>
    <x v="5"/>
    <s v="D3J222365253121"/>
    <s v="D3J222365"/>
    <s v="ŞAM KARDEŞLER-İSMAİL HAMAMİ"/>
    <s v="PLLONGRCB"/>
    <s v="PL Night Blue Long RCB"/>
    <x v="2"/>
    <n v="0"/>
    <s v="HAVALE"/>
    <s v="06.11.2025 14:48:00"/>
    <s v="07.11.2025 00:00:00"/>
    <n v="34"/>
  </r>
  <r>
    <s v="D3JDR24"/>
    <x v="9"/>
    <s v="D3J004723253121"/>
    <s v="D3J004723"/>
    <s v="TEKEL BAYİ  SERHAN KAYIMTU"/>
    <s v="PLMNRCB"/>
    <s v="PL Midnight Blue RCB"/>
    <x v="0"/>
    <n v="1"/>
    <s v="VADE"/>
    <s v="06.11.2025 14:37:00"/>
    <s v="07.11.2025 00:00:00"/>
    <n v="36"/>
  </r>
  <r>
    <s v="D3JDR24"/>
    <x v="9"/>
    <s v="D3J004723253121"/>
    <s v="D3J004723"/>
    <s v="TEKEL BAYİ  SERHAN KAYIMTU"/>
    <s v="MLR100"/>
    <s v="MLR 100"/>
    <x v="1"/>
    <n v="0"/>
    <s v="VADE"/>
    <s v="06.11.2025 14:37:00"/>
    <s v="07.11.2025 00:00:00"/>
    <n v="36"/>
  </r>
  <r>
    <s v="D3JDR24"/>
    <x v="9"/>
    <s v="D3J004723253121"/>
    <s v="D3J004723"/>
    <s v="TEKEL BAYİ  SERHAN KAYIMTU"/>
    <s v="MLEDGE"/>
    <s v="MLR Edge KS RCB"/>
    <x v="0"/>
    <n v="2"/>
    <s v="VADE"/>
    <s v="06.11.2025 14:37:00"/>
    <s v="07.11.2025 00:00:00"/>
    <n v="36"/>
  </r>
  <r>
    <s v="D3JDR24"/>
    <x v="9"/>
    <s v="D3J004723253121"/>
    <s v="D3J004723"/>
    <s v="TEKEL BAYİ  SERHAN KAYIMTU"/>
    <s v="MLTBLUE"/>
    <s v="MLR Touch Blue"/>
    <x v="0"/>
    <n v="2"/>
    <s v="VADE"/>
    <s v="06.11.2025 14:37:00"/>
    <s v="07.11.2025 00:00:00"/>
    <n v="36"/>
  </r>
  <r>
    <s v="D3JDR24"/>
    <x v="9"/>
    <s v="D3J004723253121"/>
    <s v="D3J004723"/>
    <s v="TEKEL BAYİ  SERHAN KAYIMTU"/>
    <s v="PLABS100"/>
    <s v="PL Aqua B.Slims 100 RCB"/>
    <x v="0"/>
    <n v="1"/>
    <s v="VADE"/>
    <s v="06.11.2025 14:37:00"/>
    <s v="07.11.2025 00:00:00"/>
    <n v="36"/>
  </r>
  <r>
    <s v="D3JDR24"/>
    <x v="9"/>
    <s v="D3J004723253121"/>
    <s v="D3J004723"/>
    <s v="TEKEL BAYİ  SERHAN KAYIMTU"/>
    <s v="PL100"/>
    <s v="PL Night 100"/>
    <x v="0"/>
    <n v="2"/>
    <s v="VADE"/>
    <s v="06.11.2025 14:37:00"/>
    <s v="07.11.2025 00:00:00"/>
    <n v="36"/>
  </r>
  <r>
    <s v="D3JDR24"/>
    <x v="9"/>
    <s v="D3J004723253121"/>
    <s v="D3J004723"/>
    <s v="TEKEL BAYİ  SERHAN KAYIMTU"/>
    <s v="MFTB"/>
    <s v="MLR KS Box"/>
    <x v="0"/>
    <n v="1"/>
    <s v="VADE"/>
    <s v="06.11.2025 14:37:00"/>
    <s v="07.11.2025 00:00:00"/>
    <n v="36"/>
  </r>
  <r>
    <s v="D3JDR24"/>
    <x v="9"/>
    <s v="D3J004723253121"/>
    <s v="D3J004723"/>
    <s v="TEKEL BAYİ  SERHAN KAYIMTU"/>
    <s v="PLRC"/>
    <s v="PL Night KS RCB"/>
    <x v="0"/>
    <n v="3"/>
    <s v="VADE"/>
    <s v="06.11.2025 14:37:00"/>
    <s v="07.11.2025 00:00:00"/>
    <n v="36"/>
  </r>
  <r>
    <s v="D3JDR23"/>
    <x v="11"/>
    <s v="D3J000120253121"/>
    <s v="D3J000120"/>
    <s v="ACAROĞLU GIDA  MEHMET ACAROĞLU"/>
    <s v="MLR100"/>
    <s v="MLR 100"/>
    <x v="0"/>
    <n v="1"/>
    <s v="CASH"/>
    <s v="06.11.2025 14:35:00"/>
    <s v="07.11.2025 00:00:00"/>
    <n v="37"/>
  </r>
  <r>
    <s v="D3JDR23"/>
    <x v="11"/>
    <s v="D3J000120253121"/>
    <s v="D3J000120"/>
    <s v="ACAROĞLU GIDA  MEHMET ACAROĞLU"/>
    <s v="MLEDGE"/>
    <s v="MLR Edge KS RCB"/>
    <x v="0"/>
    <n v="2"/>
    <s v="CASH"/>
    <s v="06.11.2025 14:35:00"/>
    <s v="07.11.2025 00:00:00"/>
    <n v="37"/>
  </r>
  <r>
    <s v="D3JDR23"/>
    <x v="11"/>
    <s v="D3J000120253121"/>
    <s v="D3J000120"/>
    <s v="ACAROĞLU GIDA  MEHMET ACAROĞLU"/>
    <s v="MLTBLUE"/>
    <s v="MLR Touch Blue"/>
    <x v="0"/>
    <n v="2"/>
    <s v="CASH"/>
    <s v="06.11.2025 14:35:00"/>
    <s v="07.11.2025 00:00:00"/>
    <n v="37"/>
  </r>
  <r>
    <s v="D3JDR23"/>
    <x v="11"/>
    <s v="D3J000120253121"/>
    <s v="D3J000120"/>
    <s v="ACAROĞLU GIDA  MEHMET ACAROĞLU"/>
    <s v="PL100"/>
    <s v="PL Night 100"/>
    <x v="0"/>
    <n v="1"/>
    <s v="CASH"/>
    <s v="06.11.2025 14:35:00"/>
    <s v="07.11.2025 00:00:00"/>
    <n v="37"/>
  </r>
  <r>
    <s v="D3JDR23"/>
    <x v="11"/>
    <s v="D3J000120253121"/>
    <s v="D3J000120"/>
    <s v="ACAROĞLU GIDA  MEHMET ACAROĞLU"/>
    <s v="PLRC"/>
    <s v="PL Night KS RCB"/>
    <x v="0"/>
    <n v="3"/>
    <s v="CASH"/>
    <s v="06.11.2025 14:35:00"/>
    <s v="07.11.2025 00:00:00"/>
    <n v="37"/>
  </r>
  <r>
    <s v="D3JDR23"/>
    <x v="11"/>
    <s v="D3J115213253121"/>
    <s v="D3J115213"/>
    <s v="CADDE TEKEL-SEYİT KÜÇÜKAVCI"/>
    <s v="PLMNRCB"/>
    <s v="PL Midnight Blue RCB"/>
    <x v="0"/>
    <n v="1"/>
    <s v="CASH"/>
    <s v="06.11.2025 14:32:00"/>
    <s v="07.11.2025 00:00:00"/>
    <n v="4"/>
  </r>
  <r>
    <s v="D3JDR23"/>
    <x v="11"/>
    <s v="D3J115213253121"/>
    <s v="D3J115213"/>
    <s v="CADDE TEKEL-SEYİT KÜÇÜKAVCI"/>
    <s v="MLFTB"/>
    <s v="MLR Touch KS Box"/>
    <x v="1"/>
    <n v="0"/>
    <s v="CASH"/>
    <s v="06.11.2025 14:32:00"/>
    <s v="07.11.2025 00:00:00"/>
    <n v="4"/>
  </r>
  <r>
    <s v="D3JDR23"/>
    <x v="11"/>
    <s v="D3J115213253121"/>
    <s v="D3J115213"/>
    <s v="CADDE TEKEL-SEYİT KÜÇÜKAVCI"/>
    <s v="MLEDGE"/>
    <s v="MLR Edge KS RCB"/>
    <x v="0"/>
    <n v="4"/>
    <s v="CASH"/>
    <s v="06.11.2025 14:32:00"/>
    <s v="07.11.2025 00:00:00"/>
    <n v="4"/>
  </r>
  <r>
    <s v="D3JDR23"/>
    <x v="11"/>
    <s v="D3J115213253121"/>
    <s v="D3J115213"/>
    <s v="CADDE TEKEL-SEYİT KÜÇÜKAVCI"/>
    <s v="PLRSVRCB"/>
    <s v="PL Reserve KS RCB"/>
    <x v="1"/>
    <n v="0"/>
    <s v="CASH"/>
    <s v="06.11.2025 14:32:00"/>
    <s v="07.11.2025 00:00:00"/>
    <n v="4"/>
  </r>
  <r>
    <s v="D3JDR23"/>
    <x v="11"/>
    <s v="D3J115213253121"/>
    <s v="D3J115213"/>
    <s v="CADDE TEKEL-SEYİT KÜÇÜKAVCI"/>
    <s v="MLTBLUE"/>
    <s v="MLR Touch Blue"/>
    <x v="0"/>
    <n v="2"/>
    <s v="CASH"/>
    <s v="06.11.2025 14:32:00"/>
    <s v="07.11.2025 00:00:00"/>
    <n v="4"/>
  </r>
  <r>
    <s v="D3JDR23"/>
    <x v="11"/>
    <s v="D3J115213253121"/>
    <s v="D3J115213"/>
    <s v="CADDE TEKEL-SEYİT KÜÇÜKAVCI"/>
    <s v="CHNB100RCB"/>
    <s v="CH NavyB 100 RCB"/>
    <x v="1"/>
    <n v="0"/>
    <s v="CASH"/>
    <s v="06.11.2025 14:32:00"/>
    <s v="07.11.2025 00:00:00"/>
    <n v="4"/>
  </r>
  <r>
    <s v="D3JDR23"/>
    <x v="11"/>
    <s v="D3J115213253121"/>
    <s v="D3J115213"/>
    <s v="CADDE TEKEL-SEYİT KÜÇÜKAVCI"/>
    <s v="PL100"/>
    <s v="PL Night 100"/>
    <x v="0"/>
    <n v="1"/>
    <s v="CASH"/>
    <s v="06.11.2025 14:32:00"/>
    <s v="07.11.2025 00:00:00"/>
    <n v="4"/>
  </r>
  <r>
    <s v="D3JDR23"/>
    <x v="11"/>
    <s v="D3J115213253121"/>
    <s v="D3J115213"/>
    <s v="CADDE TEKEL-SEYİT KÜÇÜKAVCI"/>
    <s v="PLRC"/>
    <s v="PL Night KS RCB"/>
    <x v="0"/>
    <n v="5"/>
    <s v="CASH"/>
    <s v="06.11.2025 14:32:00"/>
    <s v="07.11.2025 00:00:00"/>
    <n v="4"/>
  </r>
  <r>
    <s v="D3JDR23"/>
    <x v="11"/>
    <s v="D3J115213253121"/>
    <s v="D3J115213"/>
    <s v="CADDE TEKEL-SEYİT KÜÇÜKAVCI"/>
    <s v="MLEDSLIMS"/>
    <s v="MLR Edge Slims 100 RCB"/>
    <x v="5"/>
    <n v="0"/>
    <s v="CASH"/>
    <s v="06.11.2025 14:32:00"/>
    <s v="07.11.2025 00:00:00"/>
    <n v="4"/>
  </r>
  <r>
    <s v="D3JDR23"/>
    <x v="11"/>
    <s v="D3J115213253121"/>
    <s v="D3J115213"/>
    <s v="CADDE TEKEL-SEYİT KÜÇÜKAVCI"/>
    <s v="MUARCB"/>
    <s v="MUA Rosso KS RCB"/>
    <x v="1"/>
    <n v="0"/>
    <s v="CASH"/>
    <s v="06.11.2025 14:32:00"/>
    <s v="07.11.2025 00:00:00"/>
    <n v="4"/>
  </r>
  <r>
    <s v="D3JDR23"/>
    <x v="11"/>
    <s v="D3J115213253121"/>
    <s v="D3J115213"/>
    <s v="CADDE TEKEL-SEYİT KÜÇÜKAVCI"/>
    <s v="MLEDBLUE"/>
    <s v="MLR Edge Blue KS RCB"/>
    <x v="1"/>
    <n v="0"/>
    <s v="CASH"/>
    <s v="06.11.2025 14:32:00"/>
    <s v="07.11.2025 00:00:00"/>
    <n v="4"/>
  </r>
  <r>
    <s v="D3JDR04"/>
    <x v="0"/>
    <s v="D3J003768253121"/>
    <s v="D3J003768"/>
    <s v="BAKKAL  HÜSEYİN GÜNGÖR"/>
    <s v="PLMNRCB"/>
    <s v="PL Midnight Blue RCB"/>
    <x v="0"/>
    <n v="1"/>
    <s v="CASH"/>
    <s v="06.11.2025 14:31:00"/>
    <s v="07.11.2025 00:00:00"/>
    <n v="40"/>
  </r>
  <r>
    <s v="D3JDR04"/>
    <x v="0"/>
    <s v="D3J003768253121"/>
    <s v="D3J003768"/>
    <s v="BAKKAL  HÜSEYİN GÜNGÖR"/>
    <s v="MLR100"/>
    <s v="MLR 100"/>
    <x v="1"/>
    <n v="0"/>
    <s v="CASH"/>
    <s v="06.11.2025 14:31:00"/>
    <s v="07.11.2025 00:00:00"/>
    <n v="40"/>
  </r>
  <r>
    <s v="D3JDR04"/>
    <x v="0"/>
    <s v="D3J003768253121"/>
    <s v="D3J003768"/>
    <s v="BAKKAL  HÜSEYİN GÜNGÖR"/>
    <s v="MLEDGE"/>
    <s v="MLR Edge KS RCB"/>
    <x v="0"/>
    <n v="3"/>
    <s v="CASH"/>
    <s v="06.11.2025 14:31:00"/>
    <s v="07.11.2025 00:00:00"/>
    <n v="40"/>
  </r>
  <r>
    <s v="D3JDR04"/>
    <x v="0"/>
    <s v="D3J003768253121"/>
    <s v="D3J003768"/>
    <s v="BAKKAL  HÜSEYİN GÜNGÖR"/>
    <s v="MLTBLUE"/>
    <s v="MLR Touch Blue"/>
    <x v="0"/>
    <n v="2"/>
    <s v="CASH"/>
    <s v="06.11.2025 14:31:00"/>
    <s v="07.11.2025 00:00:00"/>
    <n v="40"/>
  </r>
  <r>
    <s v="D3JDR04"/>
    <x v="0"/>
    <s v="D3J003768253121"/>
    <s v="D3J003768"/>
    <s v="BAKKAL  HÜSEYİN GÜNGÖR"/>
    <s v="PL100"/>
    <s v="PL Night 100"/>
    <x v="0"/>
    <n v="1"/>
    <s v="CASH"/>
    <s v="06.11.2025 14:31:00"/>
    <s v="07.11.2025 00:00:00"/>
    <n v="40"/>
  </r>
  <r>
    <s v="D3JDR04"/>
    <x v="0"/>
    <s v="D3J003768253121"/>
    <s v="D3J003768"/>
    <s v="BAKKAL  HÜSEYİN GÜNGÖR"/>
    <s v="CHNAVYBRCB"/>
    <s v="CH NAVY BLUE RCB"/>
    <x v="1"/>
    <n v="0"/>
    <s v="CASH"/>
    <s v="06.11.2025 14:31:00"/>
    <s v="07.11.2025 00:00:00"/>
    <n v="40"/>
  </r>
  <r>
    <s v="D3JDR04"/>
    <x v="0"/>
    <s v="D3J003768253121"/>
    <s v="D3J003768"/>
    <s v="BAKKAL  HÜSEYİN GÜNGÖR"/>
    <s v="PLRC"/>
    <s v="PL Night KS RCB"/>
    <x v="0"/>
    <n v="4"/>
    <s v="CASH"/>
    <s v="06.11.2025 14:31:00"/>
    <s v="07.11.2025 00:00:00"/>
    <n v="40"/>
  </r>
  <r>
    <s v="D3JDR04"/>
    <x v="0"/>
    <s v="D3J003768253121"/>
    <s v="D3J003768"/>
    <s v="BAKKAL  HÜSEYİN GÜNGÖR"/>
    <s v="LM100RCB"/>
    <s v="L&amp;M Red 100 RCB"/>
    <x v="1"/>
    <n v="0"/>
    <s v="CASH"/>
    <s v="06.11.2025 14:31:00"/>
    <s v="07.11.2025 00:00:00"/>
    <n v="40"/>
  </r>
  <r>
    <s v="D3JDR13"/>
    <x v="7"/>
    <s v="D3J005944253121"/>
    <s v="D3J005944"/>
    <s v="GÖZDE KUNDURA GID.MOB.SAN.TİC.LTD.ŞTİ."/>
    <s v="MLR100"/>
    <s v="MLR 100"/>
    <x v="1"/>
    <n v="0"/>
    <s v="VADE"/>
    <s v="06.11.2025 14:30:00"/>
    <s v="07.11.2025 00:00:00"/>
    <n v="42"/>
  </r>
  <r>
    <s v="D3JDR13"/>
    <x v="7"/>
    <s v="D3J005944253121"/>
    <s v="D3J005944"/>
    <s v="GÖZDE KUNDURA GID.MOB.SAN.TİC.LTD.ŞTİ."/>
    <s v="PLLRC"/>
    <s v="PL Aqua B.KS RCB"/>
    <x v="1"/>
    <n v="0"/>
    <s v="VADE"/>
    <s v="06.11.2025 14:30:00"/>
    <s v="07.11.2025 00:00:00"/>
    <n v="42"/>
  </r>
  <r>
    <s v="D3JDR13"/>
    <x v="7"/>
    <s v="D3J005944253121"/>
    <s v="D3J005944"/>
    <s v="GÖZDE KUNDURA GID.MOB.SAN.TİC.LTD.ŞTİ."/>
    <s v="MLEDGE"/>
    <s v="MLR Edge KS RCB"/>
    <x v="0"/>
    <n v="4"/>
    <s v="VADE"/>
    <s v="06.11.2025 14:30:00"/>
    <s v="07.11.2025 00:00:00"/>
    <n v="42"/>
  </r>
  <r>
    <s v="D3JDR13"/>
    <x v="7"/>
    <s v="D3J005944253121"/>
    <s v="D3J005944"/>
    <s v="GÖZDE KUNDURA GID.MOB.SAN.TİC.LTD.ŞTİ."/>
    <s v="LMRCB"/>
    <s v="L&amp;M Red KS RCB"/>
    <x v="0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PLRSVRCB"/>
    <s v="PL Reserve KS RCB"/>
    <x v="0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MLTBLUE"/>
    <s v="MLR Touch Blue"/>
    <x v="0"/>
    <n v="6"/>
    <s v="VADE"/>
    <s v="06.11.2025 14:30:00"/>
    <s v="07.11.2025 00:00:00"/>
    <n v="42"/>
  </r>
  <r>
    <s v="D3JDR13"/>
    <x v="7"/>
    <s v="D3J005944253121"/>
    <s v="D3J005944"/>
    <s v="GÖZDE KUNDURA GID.MOB.SAN.TİC.LTD.ŞTİ."/>
    <s v="CHNB100RCB"/>
    <s v="CH NavyB 100 RCB"/>
    <x v="0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PL100"/>
    <s v="PL Night 100"/>
    <x v="0"/>
    <n v="5"/>
    <s v="VADE"/>
    <s v="06.11.2025 14:30:00"/>
    <s v="07.11.2025 00:00:00"/>
    <n v="42"/>
  </r>
  <r>
    <s v="D3JDR13"/>
    <x v="7"/>
    <s v="D3J005944253121"/>
    <s v="D3J005944"/>
    <s v="GÖZDE KUNDURA GID.MOB.SAN.TİC.LTD.ŞTİ."/>
    <s v="MFTB"/>
    <s v="MLR KS Box"/>
    <x v="1"/>
    <n v="0"/>
    <s v="VADE"/>
    <s v="06.11.2025 14:30:00"/>
    <s v="07.11.2025 00:00:00"/>
    <n v="42"/>
  </r>
  <r>
    <s v="D3JDR13"/>
    <x v="7"/>
    <s v="D3J005944253121"/>
    <s v="D3J005944"/>
    <s v="GÖZDE KUNDURA GID.MOB.SAN.TİC.LTD.ŞTİ."/>
    <s v="MLTGRAY"/>
    <s v="MLR Touch Gray"/>
    <x v="4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LARKBRCB"/>
    <s v="LARK Blue Rec RCB"/>
    <x v="0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PLRC"/>
    <s v="PL Night KS RCB"/>
    <x v="0"/>
    <n v="6"/>
    <s v="VADE"/>
    <s v="06.11.2025 14:30:00"/>
    <s v="07.11.2025 00:00:00"/>
    <n v="42"/>
  </r>
  <r>
    <s v="D3JDR13"/>
    <x v="7"/>
    <s v="D3J005944253121"/>
    <s v="D3J005944"/>
    <s v="GÖZDE KUNDURA GID.MOB.SAN.TİC.LTD.ŞTİ."/>
    <s v="MUARCB"/>
    <s v="MUA Rosso KS RCB"/>
    <x v="1"/>
    <n v="0"/>
    <s v="VADE"/>
    <s v="06.11.2025 14:30:00"/>
    <s v="07.11.2025 00:00:00"/>
    <n v="42"/>
  </r>
  <r>
    <s v="D3JDR13"/>
    <x v="7"/>
    <s v="D3J005944253121"/>
    <s v="D3J005944"/>
    <s v="GÖZDE KUNDURA GID.MOB.SAN.TİC.LTD.ŞTİ."/>
    <s v="PLLONGRCB"/>
    <s v="PL Night Blue Long RCB"/>
    <x v="0"/>
    <n v="1"/>
    <s v="VADE"/>
    <s v="06.11.2025 14:30:00"/>
    <s v="07.11.2025 00:00:00"/>
    <n v="42"/>
  </r>
  <r>
    <s v="D3JDR13"/>
    <x v="7"/>
    <s v="D3J005944253121"/>
    <s v="D3J005944"/>
    <s v="GÖZDE KUNDURA GID.MOB.SAN.TİC.LTD.ŞTİ."/>
    <s v="LM100RCB"/>
    <s v="L&amp;M Red 100 RCB"/>
    <x v="0"/>
    <n v="1"/>
    <s v="VADE"/>
    <s v="06.11.2025 14:30:00"/>
    <s v="07.11.2025 00:00:00"/>
    <n v="42"/>
  </r>
  <r>
    <s v="D3JDR04"/>
    <x v="0"/>
    <s v="D3J034734253121"/>
    <s v="D3J034734"/>
    <s v="KÜLTÜR GIDA ALİ RIZA ÖZKAN"/>
    <s v="PLMNRCB"/>
    <s v="PL Midnight Blue RCB"/>
    <x v="0"/>
    <n v="1"/>
    <s v="VADE"/>
    <s v="06.11.2025 14:22:00"/>
    <s v="07.11.2025 00:00:00"/>
    <n v="46"/>
  </r>
  <r>
    <s v="D3JDR04"/>
    <x v="0"/>
    <s v="D3J034734253121"/>
    <s v="D3J034734"/>
    <s v="KÜLTÜR GIDA ALİ RIZA ÖZKAN"/>
    <s v="MLEDGE"/>
    <s v="MLR Edge KS RCB"/>
    <x v="0"/>
    <n v="5"/>
    <s v="VADE"/>
    <s v="06.11.2025 14:22:00"/>
    <s v="07.11.2025 00:00:00"/>
    <n v="46"/>
  </r>
  <r>
    <s v="D3JDR04"/>
    <x v="0"/>
    <s v="D3J034734253121"/>
    <s v="D3J034734"/>
    <s v="KÜLTÜR GIDA ALİ RIZA ÖZKAN"/>
    <s v="LAB100RCB"/>
    <s v="LARK Blue 100 RCB"/>
    <x v="1"/>
    <n v="1"/>
    <s v="VADE"/>
    <s v="06.11.2025 14:22:00"/>
    <s v="07.11.2025 00:00:00"/>
    <n v="46"/>
  </r>
  <r>
    <s v="D3JDR04"/>
    <x v="0"/>
    <s v="D3J034734253121"/>
    <s v="D3J034734"/>
    <s v="KÜLTÜR GIDA ALİ RIZA ÖZKAN"/>
    <s v="MLTBLUE"/>
    <s v="MLR Touch Blue"/>
    <x v="0"/>
    <n v="3"/>
    <s v="VADE"/>
    <s v="06.11.2025 14:22:00"/>
    <s v="07.11.2025 00:00:00"/>
    <n v="46"/>
  </r>
  <r>
    <s v="D3JDR04"/>
    <x v="0"/>
    <s v="D3J034734253121"/>
    <s v="D3J034734"/>
    <s v="KÜLTÜR GIDA ALİ RIZA ÖZKAN"/>
    <s v="CHNB100RCB"/>
    <s v="CH NavyB 100 RCB"/>
    <x v="0"/>
    <n v="1"/>
    <s v="VADE"/>
    <s v="06.11.2025 14:22:00"/>
    <s v="07.11.2025 00:00:00"/>
    <n v="46"/>
  </r>
  <r>
    <s v="D3JDR04"/>
    <x v="0"/>
    <s v="D3J034734253121"/>
    <s v="D3J034734"/>
    <s v="KÜLTÜR GIDA ALİ RIZA ÖZKAN"/>
    <s v="MUABLU"/>
    <s v="MUA Blu Line KS"/>
    <x v="2"/>
    <n v="0"/>
    <s v="VADE"/>
    <s v="06.11.2025 14:22:00"/>
    <s v="07.11.2025 00:00:00"/>
    <n v="46"/>
  </r>
  <r>
    <s v="D3JDR04"/>
    <x v="0"/>
    <s v="D3J034734253121"/>
    <s v="D3J034734"/>
    <s v="KÜLTÜR GIDA ALİ RIZA ÖZKAN"/>
    <s v="PL100"/>
    <s v="PL Night 100"/>
    <x v="0"/>
    <n v="1"/>
    <s v="VADE"/>
    <s v="06.11.2025 14:22:00"/>
    <s v="07.11.2025 00:00:00"/>
    <n v="46"/>
  </r>
  <r>
    <s v="D3JDR04"/>
    <x v="0"/>
    <s v="D3J034734253121"/>
    <s v="D3J034734"/>
    <s v="KÜLTÜR GIDA ALİ RIZA ÖZKAN"/>
    <s v="CHNAVYBRCB"/>
    <s v="CH NAVY BLUE RCB"/>
    <x v="0"/>
    <n v="1"/>
    <s v="VADE"/>
    <s v="06.11.2025 14:22:00"/>
    <s v="07.11.2025 00:00:00"/>
    <n v="46"/>
  </r>
  <r>
    <s v="D3JDR04"/>
    <x v="0"/>
    <s v="D3J034734253121"/>
    <s v="D3J034734"/>
    <s v="KÜLTÜR GIDA ALİ RIZA ÖZKAN"/>
    <s v="LARKBRCB"/>
    <s v="LARK Blue Rec RCB"/>
    <x v="1"/>
    <n v="0"/>
    <s v="VADE"/>
    <s v="06.11.2025 14:22:00"/>
    <s v="07.11.2025 00:00:00"/>
    <n v="46"/>
  </r>
  <r>
    <s v="D3JDR04"/>
    <x v="0"/>
    <s v="D3J034734253121"/>
    <s v="D3J034734"/>
    <s v="KÜLTÜR GIDA ALİ RIZA ÖZKAN"/>
    <s v="PLRC"/>
    <s v="PL Night KS RCB"/>
    <x v="0"/>
    <n v="4"/>
    <s v="VADE"/>
    <s v="06.11.2025 14:22:00"/>
    <s v="07.11.2025 00:00:00"/>
    <n v="46"/>
  </r>
  <r>
    <s v="D3JDR04"/>
    <x v="0"/>
    <s v="D3J034734253121"/>
    <s v="D3J034734"/>
    <s v="KÜLTÜR GIDA ALİ RIZA ÖZKAN"/>
    <s v="MLEDSLIMS"/>
    <s v="MLR Edge Slims 100 RCB"/>
    <x v="3"/>
    <n v="0"/>
    <s v="VADE"/>
    <s v="06.11.2025 14:22:00"/>
    <s v="07.11.2025 00:00:00"/>
    <n v="46"/>
  </r>
  <r>
    <s v="D3JDR04"/>
    <x v="0"/>
    <s v="D3J034734253121"/>
    <s v="D3J034734"/>
    <s v="KÜLTÜR GIDA ALİ RIZA ÖZKAN"/>
    <s v="MUARCB"/>
    <s v="MUA Rosso KS RCB"/>
    <x v="1"/>
    <n v="0"/>
    <s v="VADE"/>
    <s v="06.11.2025 14:22:00"/>
    <s v="07.11.2025 00:00:00"/>
    <n v="46"/>
  </r>
  <r>
    <s v="D3JDR04"/>
    <x v="0"/>
    <s v="D3J034734253121"/>
    <s v="D3J034734"/>
    <s v="KÜLTÜR GIDA ALİ RIZA ÖZKAN"/>
    <s v="MLEDBLUE"/>
    <s v="MLR Edge Blue KS RCB"/>
    <x v="0"/>
    <n v="1"/>
    <s v="VADE"/>
    <s v="06.11.2025 14:22:00"/>
    <s v="07.11.2025 00:00:00"/>
    <n v="46"/>
  </r>
  <r>
    <s v="D3JDR09"/>
    <x v="6"/>
    <s v="030038405253121"/>
    <s v="030038405"/>
    <s v="KÖŞEM BAKKAL - HASAN YILMAZ"/>
    <s v="MLR100"/>
    <s v="MLR 100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MLEDGE"/>
    <s v="MLR Edge KS RCB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PLRSVRCB"/>
    <s v="PL Reserve KS RCB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LAB100RCB"/>
    <s v="LARK Blue 100 RCB"/>
    <x v="1"/>
    <n v="0"/>
    <s v="HAVALE"/>
    <s v="06.11.2025 14:13:00"/>
    <s v="07.11.2025 00:00:00"/>
    <n v="23"/>
  </r>
  <r>
    <s v="D3JDR09"/>
    <x v="6"/>
    <s v="030038405253121"/>
    <s v="030038405"/>
    <s v="KÖŞEM BAKKAL - HASAN YILMAZ"/>
    <s v="CHNB100RCB"/>
    <s v="CH NavyB 100 RCB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PL100"/>
    <s v="PL Night 100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MFTB"/>
    <s v="MLR KS Box"/>
    <x v="0"/>
    <n v="1"/>
    <s v="HAVALE"/>
    <s v="06.11.2025 14:13:00"/>
    <s v="07.11.2025 00:00:00"/>
    <n v="23"/>
  </r>
  <r>
    <s v="D3JDR09"/>
    <x v="6"/>
    <s v="030038405253121"/>
    <s v="030038405"/>
    <s v="KÖŞEM BAKKAL - HASAN YILMAZ"/>
    <s v="LARKBRCB"/>
    <s v="LARK Blue Rec RCB"/>
    <x v="1"/>
    <n v="0"/>
    <s v="HAVALE"/>
    <s v="06.11.2025 14:13:00"/>
    <s v="07.11.2025 00:00:00"/>
    <n v="23"/>
  </r>
  <r>
    <s v="D3JDR09"/>
    <x v="6"/>
    <s v="030038405253121"/>
    <s v="030038405"/>
    <s v="KÖŞEM BAKKAL - HASAN YILMAZ"/>
    <s v="PLLONGRCB"/>
    <s v="PL Night Blue Long RCB"/>
    <x v="5"/>
    <n v="0"/>
    <s v="HAVALE"/>
    <s v="06.11.2025 14:13:00"/>
    <s v="07.11.2025 00:00:00"/>
    <n v="23"/>
  </r>
  <r>
    <s v="D3JDR09"/>
    <x v="6"/>
    <s v="030038405253121"/>
    <s v="030038405"/>
    <s v="KÖŞEM BAKKAL - HASAN YILMAZ"/>
    <s v="MLEDBLUE"/>
    <s v="MLR Edge Blue KS RCB"/>
    <x v="0"/>
    <n v="1"/>
    <s v="HAVALE"/>
    <s v="06.11.2025 14:13:00"/>
    <s v="07.11.2025 00:00:00"/>
    <n v="23"/>
  </r>
  <r>
    <s v="D3JDR08"/>
    <x v="5"/>
    <s v="D3J232439253121"/>
    <s v="D3J232439"/>
    <s v="PAŞALI MARKET MANAV-MURAT TARAKCI"/>
    <s v="MLR100"/>
    <s v="MLR 100"/>
    <x v="0"/>
    <n v="1"/>
    <s v="HAVALE"/>
    <s v="06.11.2025 13:58:00"/>
    <s v="07.11.2025 00:00:00"/>
    <n v="35"/>
  </r>
  <r>
    <s v="D3JDR08"/>
    <x v="5"/>
    <s v="D3J232439253121"/>
    <s v="D3J232439"/>
    <s v="PAŞALI MARKET MANAV-MURAT TARAKCI"/>
    <s v="MLEDGE"/>
    <s v="MLR Edge KS RCB"/>
    <x v="0"/>
    <n v="6"/>
    <s v="HAVALE"/>
    <s v="06.11.2025 13:58:00"/>
    <s v="07.11.2025 00:00:00"/>
    <n v="35"/>
  </r>
  <r>
    <s v="D3JDR08"/>
    <x v="5"/>
    <s v="D3J232439253121"/>
    <s v="D3J232439"/>
    <s v="PAŞALI MARKET MANAV-MURAT TARAKCI"/>
    <s v="LMRCB"/>
    <s v="L&amp;M Red KS RCB"/>
    <x v="0"/>
    <n v="1"/>
    <s v="HAVALE"/>
    <s v="06.11.2025 13:58:00"/>
    <s v="07.11.2025 00:00:00"/>
    <n v="35"/>
  </r>
  <r>
    <s v="D3JDR08"/>
    <x v="5"/>
    <s v="D3J232439253121"/>
    <s v="D3J232439"/>
    <s v="PAŞALI MARKET MANAV-MURAT TARAKCI"/>
    <s v="LAB100RCB"/>
    <s v="LARK Blue 100 RCB"/>
    <x v="0"/>
    <n v="2"/>
    <s v="HAVALE"/>
    <s v="06.11.2025 13:58:00"/>
    <s v="07.11.2025 00:00:00"/>
    <n v="35"/>
  </r>
  <r>
    <s v="D3JDR08"/>
    <x v="5"/>
    <s v="D3J232439253121"/>
    <s v="D3J232439"/>
    <s v="PAŞALI MARKET MANAV-MURAT TARAKCI"/>
    <s v="MLTBLUE"/>
    <s v="MLR Touch Blue"/>
    <x v="0"/>
    <n v="3"/>
    <s v="HAVALE"/>
    <s v="06.11.2025 13:58:00"/>
    <s v="07.11.2025 00:00:00"/>
    <n v="35"/>
  </r>
  <r>
    <s v="D3JDR08"/>
    <x v="5"/>
    <s v="D3J232439253121"/>
    <s v="D3J232439"/>
    <s v="PAŞALI MARKET MANAV-MURAT TARAKCI"/>
    <s v="PL100"/>
    <s v="PL Night 100"/>
    <x v="0"/>
    <n v="2"/>
    <s v="HAVALE"/>
    <s v="06.11.2025 13:58:00"/>
    <s v="07.11.2025 00:00:00"/>
    <n v="35"/>
  </r>
  <r>
    <s v="D3JDR08"/>
    <x v="5"/>
    <s v="D3J232439253121"/>
    <s v="D3J232439"/>
    <s v="PAŞALI MARKET MANAV-MURAT TARAKCI"/>
    <s v="MFTB"/>
    <s v="MLR KS Box"/>
    <x v="0"/>
    <n v="1"/>
    <s v="HAVALE"/>
    <s v="06.11.2025 13:58:00"/>
    <s v="07.11.2025 00:00:00"/>
    <n v="35"/>
  </r>
  <r>
    <s v="D3JDR08"/>
    <x v="5"/>
    <s v="D3J232439253121"/>
    <s v="D3J232439"/>
    <s v="PAŞALI MARKET MANAV-MURAT TARAKCI"/>
    <s v="CHNAVYBRCB"/>
    <s v="CH NAVY BLUE RCB"/>
    <x v="0"/>
    <n v="1"/>
    <s v="HAVALE"/>
    <s v="06.11.2025 13:58:00"/>
    <s v="07.11.2025 00:00:00"/>
    <n v="35"/>
  </r>
  <r>
    <s v="D3JDR08"/>
    <x v="5"/>
    <s v="D3J232439253121"/>
    <s v="D3J232439"/>
    <s v="PAŞALI MARKET MANAV-MURAT TARAKCI"/>
    <s v="PLRC"/>
    <s v="PL Night KS RCB"/>
    <x v="0"/>
    <n v="7"/>
    <s v="HAVALE"/>
    <s v="06.11.2025 13:58:00"/>
    <s v="07.11.2025 00:00:00"/>
    <n v="35"/>
  </r>
  <r>
    <s v="D3JDR08"/>
    <x v="5"/>
    <s v="D3J232439253121"/>
    <s v="D3J232439"/>
    <s v="PAŞALI MARKET MANAV-MURAT TARAKCI"/>
    <s v="MUARCB"/>
    <s v="MUA Rosso KS RCB"/>
    <x v="0"/>
    <n v="1"/>
    <s v="HAVALE"/>
    <s v="06.11.2025 13:58:00"/>
    <s v="07.11.2025 00:00:00"/>
    <n v="35"/>
  </r>
  <r>
    <s v="D3JDR08"/>
    <x v="5"/>
    <s v="D3J232439253121"/>
    <s v="D3J232439"/>
    <s v="PAŞALI MARKET MANAV-MURAT TARAKCI"/>
    <s v="PLLONGRCB"/>
    <s v="PL Night Blue Long RCB"/>
    <x v="2"/>
    <n v="0"/>
    <s v="HAVALE"/>
    <s v="06.11.2025 13:58:00"/>
    <s v="07.11.2025 00:00:00"/>
    <n v="35"/>
  </r>
  <r>
    <s v="D3JDR08"/>
    <x v="5"/>
    <s v="D3J232439253121"/>
    <s v="D3J232439"/>
    <s v="PAŞALI MARKET MANAV-MURAT TARAKCI"/>
    <s v="MLEDBLUE"/>
    <s v="MLR Edge Blue KS RCB"/>
    <x v="0"/>
    <n v="1"/>
    <s v="HAVALE"/>
    <s v="06.11.2025 13:58:00"/>
    <s v="07.11.2025 00:00:00"/>
    <n v="35"/>
  </r>
  <r>
    <s v="D3JDR16"/>
    <x v="10"/>
    <s v="D3J005968253121"/>
    <s v="D3J005968"/>
    <s v="BAKKALİYE TEKEL ÜRÜNLERİ PAŞA ÇETİNKAYA"/>
    <s v="PLLRC"/>
    <s v="PL Aqua B.KS RCB"/>
    <x v="1"/>
    <n v="0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LTBLUE"/>
    <s v="MLR Touch Blue"/>
    <x v="0"/>
    <n v="5"/>
    <s v="CASH"/>
    <s v="06.11.2025 13:54:00"/>
    <s v="07.11.2025 00:00:00"/>
    <n v="38"/>
  </r>
  <r>
    <s v="D3JDR16"/>
    <x v="10"/>
    <s v="D3J005968253121"/>
    <s v="D3J005968"/>
    <s v="BAKKALİYE TEKEL ÜRÜNLERİ PAŞA ÇETİNKAYA"/>
    <s v="PLABS100"/>
    <s v="PL Aqua B.Slims 100 RCB"/>
    <x v="1"/>
    <n v="0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LTONE"/>
    <s v="MLR Touch White"/>
    <x v="0"/>
    <n v="1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UABLU"/>
    <s v="MUA Blu Line KS"/>
    <x v="3"/>
    <n v="0"/>
    <s v="CASH"/>
    <s v="06.11.2025 13:54:00"/>
    <s v="07.11.2025 00:00:00"/>
    <n v="38"/>
  </r>
  <r>
    <s v="D3JDR16"/>
    <x v="10"/>
    <s v="D3J005968253121"/>
    <s v="D3J005968"/>
    <s v="BAKKALİYE TEKEL ÜRÜNLERİ PAŞA ÇETİNKAYA"/>
    <s v="PL100"/>
    <s v="PL Night 100"/>
    <x v="0"/>
    <n v="1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LTGRAY"/>
    <s v="MLR Touch Gray"/>
    <x v="0"/>
    <n v="1"/>
    <s v="CASH"/>
    <s v="06.11.2025 13:54:00"/>
    <s v="07.11.2025 00:00:00"/>
    <n v="38"/>
  </r>
  <r>
    <s v="D3JDR16"/>
    <x v="10"/>
    <s v="D3J005968253121"/>
    <s v="D3J005968"/>
    <s v="BAKKALİYE TEKEL ÜRÜNLERİ PAŞA ÇETİNKAYA"/>
    <s v="PLRC"/>
    <s v="PL Night KS RCB"/>
    <x v="0"/>
    <n v="1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LEDSLIMS"/>
    <s v="MLR Edge Slims 100 RCB"/>
    <x v="0"/>
    <n v="1"/>
    <s v="CASH"/>
    <s v="06.11.2025 13:54:00"/>
    <s v="07.11.2025 00:00:00"/>
    <n v="38"/>
  </r>
  <r>
    <s v="D3JDR16"/>
    <x v="10"/>
    <s v="D3J005968253121"/>
    <s v="D3J005968"/>
    <s v="BAKKALİYE TEKEL ÜRÜNLERİ PAŞA ÇETİNKAYA"/>
    <s v="MLEDBLUE"/>
    <s v="MLR Edge Blue KS RCB"/>
    <x v="0"/>
    <n v="1"/>
    <s v="CASH"/>
    <s v="06.11.2025 13:54:00"/>
    <s v="07.11.2025 00:00:00"/>
    <n v="38"/>
  </r>
  <r>
    <s v="D3JDR04"/>
    <x v="0"/>
    <s v="D3J228368253121"/>
    <s v="D3J228368"/>
    <s v="ÇELEBİ ŞARKÜTERİ MARKET GIDA SAN.TİC.LTD.ŞTİ"/>
    <s v="PLMNRCB"/>
    <s v="PL Midnight Blue RCB"/>
    <x v="0"/>
    <n v="1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LR100"/>
    <s v="MLR 100"/>
    <x v="1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LEDGE"/>
    <s v="MLR Edge KS RCB"/>
    <x v="0"/>
    <n v="6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PLRSVRCB"/>
    <s v="PL Reserve KS RCB"/>
    <x v="1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LTBLUE"/>
    <s v="MLR Touch Blue"/>
    <x v="0"/>
    <n v="7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PL100"/>
    <s v="PL Night 100"/>
    <x v="0"/>
    <n v="3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CHNAVYBRCB"/>
    <s v="CH NAVY BLUE RCB"/>
    <x v="1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LARKBRCB"/>
    <s v="LARK Blue Rec RCB"/>
    <x v="1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PLRC"/>
    <s v="PL Night KS RCB"/>
    <x v="0"/>
    <n v="4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LEDSLIMS"/>
    <s v="MLR Edge Slims 100 RCB"/>
    <x v="4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UARCB"/>
    <s v="MUA Rosso KS RCB"/>
    <x v="1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PLLONGRCB"/>
    <s v="PL Night Blue Long RCB"/>
    <x v="4"/>
    <n v="0"/>
    <s v="HAVALE"/>
    <s v="06.11.2025 13:36:00"/>
    <s v="07.11.2025 00:00:00"/>
    <n v="45"/>
  </r>
  <r>
    <s v="D3JDR04"/>
    <x v="0"/>
    <s v="D3J228368253121"/>
    <s v="D3J228368"/>
    <s v="ÇELEBİ ŞARKÜTERİ MARKET GIDA SAN.TİC.LTD.ŞTİ"/>
    <s v="MLEDBLUE"/>
    <s v="MLR Edge Blue KS RCB"/>
    <x v="1"/>
    <n v="0"/>
    <s v="HAVALE"/>
    <s v="06.11.2025 13:36:00"/>
    <s v="07.11.2025 00:00:00"/>
    <n v="45"/>
  </r>
  <r>
    <s v="D3JDR04"/>
    <x v="0"/>
    <s v="D3J160777253121"/>
    <s v="D3J160777"/>
    <s v="CAN MARKET-MEHMET ÖZBAĞÇE"/>
    <s v="MLR100"/>
    <s v="MLR 100"/>
    <x v="0"/>
    <n v="1"/>
    <s v="CASH"/>
    <s v="06.11.2025 13:35:00"/>
    <s v="07.11.2025 00:00:00"/>
    <n v="44"/>
  </r>
  <r>
    <s v="D3JDR04"/>
    <x v="0"/>
    <s v="D3J160777253121"/>
    <s v="D3J160777"/>
    <s v="CAN MARKET-MEHMET ÖZBAĞÇE"/>
    <s v="MLEDGE"/>
    <s v="MLR Edge KS RCB"/>
    <x v="0"/>
    <n v="1"/>
    <s v="CASH"/>
    <s v="06.11.2025 13:35:00"/>
    <s v="07.11.2025 00:00:00"/>
    <n v="44"/>
  </r>
  <r>
    <s v="D3JDR04"/>
    <x v="0"/>
    <s v="D3J160777253121"/>
    <s v="D3J160777"/>
    <s v="CAN MARKET-MEHMET ÖZBAĞÇE"/>
    <s v="PLABS100"/>
    <s v="PL Aqua B.Slims 100 RCB"/>
    <x v="1"/>
    <n v="0"/>
    <s v="CASH"/>
    <s v="06.11.2025 13:35:00"/>
    <s v="07.11.2025 00:00:00"/>
    <n v="44"/>
  </r>
  <r>
    <s v="D3JDR04"/>
    <x v="0"/>
    <s v="D3J160777253121"/>
    <s v="D3J160777"/>
    <s v="CAN MARKET-MEHMET ÖZBAĞÇE"/>
    <s v="PL100"/>
    <s v="PL Night 100"/>
    <x v="0"/>
    <n v="1"/>
    <s v="CASH"/>
    <s v="06.11.2025 13:35:00"/>
    <s v="07.11.2025 00:00:00"/>
    <n v="44"/>
  </r>
  <r>
    <s v="D3JDR04"/>
    <x v="0"/>
    <s v="D3J160777253121"/>
    <s v="D3J160777"/>
    <s v="CAN MARKET-MEHMET ÖZBAĞÇE"/>
    <s v="PLLONGRCB"/>
    <s v="PL Night Blue Long RCB"/>
    <x v="4"/>
    <n v="0"/>
    <s v="CASH"/>
    <s v="06.11.2025 13:35:00"/>
    <s v="07.11.2025 00:00:00"/>
    <n v="44"/>
  </r>
  <r>
    <s v="D3JDR04"/>
    <x v="0"/>
    <s v="D3J160777253121"/>
    <s v="D3J160777"/>
    <s v="CAN MARKET-MEHMET ÖZBAĞÇE"/>
    <s v="MLEDBLUE"/>
    <s v="MLR Edge Blue KS RCB"/>
    <x v="1"/>
    <n v="0"/>
    <s v="CASH"/>
    <s v="06.11.2025 13:35:00"/>
    <s v="07.11.2025 00:00:00"/>
    <n v="44"/>
  </r>
  <r>
    <s v="D3JDR01"/>
    <x v="1"/>
    <s v="D3J142753253121"/>
    <s v="D3J142753"/>
    <s v="KENTGROSS-KENTSANCAK"/>
    <s v="PLMNRCB"/>
    <s v="PL Midnight Blue RCB"/>
    <x v="0"/>
    <n v="6"/>
    <s v="HAVALE"/>
    <s v="06.11.2025 13:15:00"/>
    <s v="07.11.2025 00:00:00"/>
    <n v="4"/>
  </r>
  <r>
    <s v="D3JDR01"/>
    <x v="1"/>
    <s v="D3J142753253121"/>
    <s v="D3J142753"/>
    <s v="KENTGROSS-KENTSANCAK"/>
    <s v="MLFTB"/>
    <s v="MLR Touch KS Box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MLR100"/>
    <s v="MLR 100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MLEDGE"/>
    <s v="MLR Edge KS RCB"/>
    <x v="0"/>
    <n v="11"/>
    <s v="HAVALE"/>
    <s v="06.11.2025 13:15:00"/>
    <s v="07.11.2025 00:00:00"/>
    <n v="4"/>
  </r>
  <r>
    <s v="D3JDR01"/>
    <x v="1"/>
    <s v="D3J142753253121"/>
    <s v="D3J142753"/>
    <s v="KENTGROSS-KENTSANCAK"/>
    <s v="LMRCB"/>
    <s v="L&amp;M Red KS RCB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PLRSVRCB"/>
    <s v="PL Reserve KS RCB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MLTBLUE"/>
    <s v="MLR Touch Blue"/>
    <x v="0"/>
    <n v="25"/>
    <s v="HAVALE"/>
    <s v="06.11.2025 13:15:00"/>
    <s v="07.11.2025 00:00:00"/>
    <n v="4"/>
  </r>
  <r>
    <s v="D3JDR01"/>
    <x v="1"/>
    <s v="D3J142753253121"/>
    <s v="D3J142753"/>
    <s v="KENTGROSS-KENTSANCAK"/>
    <s v="PLABS100"/>
    <s v="PL Aqua B.Slims 100 RCB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PL100"/>
    <s v="PL Night 100"/>
    <x v="0"/>
    <n v="7"/>
    <s v="HAVALE"/>
    <s v="06.11.2025 13:15:00"/>
    <s v="07.11.2025 00:00:00"/>
    <n v="4"/>
  </r>
  <r>
    <s v="D3JDR01"/>
    <x v="1"/>
    <s v="D3J142753253121"/>
    <s v="D3J142753"/>
    <s v="KENTGROSS-KENTSANCAK"/>
    <s v="MFTB"/>
    <s v="MLR KS Box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MLTGRAY"/>
    <s v="MLR Touch Gray"/>
    <x v="0"/>
    <n v="3"/>
    <s v="HAVALE"/>
    <s v="06.11.2025 13:15:00"/>
    <s v="07.11.2025 00:00:00"/>
    <n v="4"/>
  </r>
  <r>
    <s v="D3JDR01"/>
    <x v="1"/>
    <s v="D3J142753253121"/>
    <s v="D3J142753"/>
    <s v="KENTGROSS-KENTSANCAK"/>
    <s v="CHNAVYBRCB"/>
    <s v="CH NAVY BLUE RCB"/>
    <x v="0"/>
    <n v="4"/>
    <s v="HAVALE"/>
    <s v="06.11.2025 13:15:00"/>
    <s v="07.11.2025 00:00:00"/>
    <n v="4"/>
  </r>
  <r>
    <s v="D3JDR01"/>
    <x v="1"/>
    <s v="D3J142753253121"/>
    <s v="D3J142753"/>
    <s v="KENTGROSS-KENTSANCAK"/>
    <s v="LARKBRCB"/>
    <s v="LARK Blue Rec RCB"/>
    <x v="0"/>
    <n v="1"/>
    <s v="HAVALE"/>
    <s v="06.11.2025 13:15:00"/>
    <s v="07.11.2025 00:00:00"/>
    <n v="4"/>
  </r>
  <r>
    <s v="D3JDR01"/>
    <x v="1"/>
    <s v="D3J142753253121"/>
    <s v="D3J142753"/>
    <s v="KENTGROSS-KENTSANCAK"/>
    <s v="PLRC"/>
    <s v="PL Night KS RCB"/>
    <x v="0"/>
    <n v="10"/>
    <s v="HAVALE"/>
    <s v="06.11.2025 13:15:00"/>
    <s v="07.11.2025 00:00:00"/>
    <n v="4"/>
  </r>
  <r>
    <s v="D3JDR01"/>
    <x v="1"/>
    <s v="D3J142753253121"/>
    <s v="D3J142753"/>
    <s v="KENTGROSS-KENTSANCAK"/>
    <s v="MLEDSLIMS"/>
    <s v="MLR Edge Slims 100 RCB"/>
    <x v="0"/>
    <n v="3"/>
    <s v="HAVALE"/>
    <s v="06.11.2025 13:15:00"/>
    <s v="07.11.2025 00:00:00"/>
    <n v="4"/>
  </r>
  <r>
    <s v="D3JDR01"/>
    <x v="1"/>
    <s v="D3J142753253121"/>
    <s v="D3J142753"/>
    <s v="KENTGROSS-KENTSANCAK"/>
    <s v="MUARCB"/>
    <s v="MUA Rosso KS RCB"/>
    <x v="0"/>
    <n v="2"/>
    <s v="HAVALE"/>
    <s v="06.11.2025 13:15:00"/>
    <s v="07.11.2025 00:00:00"/>
    <n v="4"/>
  </r>
  <r>
    <s v="D3JDR01"/>
    <x v="1"/>
    <s v="D3J142753253121"/>
    <s v="D3J142753"/>
    <s v="KENTGROSS-KENTSANCAK"/>
    <s v="MLEDBLUE"/>
    <s v="MLR Edge Blue KS RCB"/>
    <x v="0"/>
    <n v="2"/>
    <s v="HAVALE"/>
    <s v="06.11.2025 13:15:00"/>
    <s v="07.11.2025 00:00:00"/>
    <n v="4"/>
  </r>
  <r>
    <s v="D3JDR01"/>
    <x v="1"/>
    <s v="D3J142753253121"/>
    <s v="D3J142753"/>
    <s v="KENTGROSS-KENTSANCAK"/>
    <s v="LM100RCB"/>
    <s v="L&amp;M Red 100 RCB"/>
    <x v="0"/>
    <n v="1"/>
    <s v="HAVALE"/>
    <s v="06.11.2025 13:15:00"/>
    <s v="07.11.2025 00:00:00"/>
    <n v="4"/>
  </r>
  <r>
    <s v="D3JDR05"/>
    <x v="3"/>
    <s v="D3J214127253121"/>
    <s v="D3J214127"/>
    <s v="TERRAS BAKKAL-KAZIM AYVAZOĞLUGİL"/>
    <s v="PLLRC"/>
    <s v="PL Aqua B.KS RCB"/>
    <x v="1"/>
    <n v="0"/>
    <s v="VADE"/>
    <s v="06.11.2025 12:47:00"/>
    <s v="07.11.2025 00:00:00"/>
    <n v="30"/>
  </r>
  <r>
    <s v="D3JDR05"/>
    <x v="3"/>
    <s v="D3J214127253121"/>
    <s v="D3J214127"/>
    <s v="TERRAS BAKKAL-KAZIM AYVAZOĞLUGİL"/>
    <s v="MLEDGE"/>
    <s v="MLR Edge KS RCB"/>
    <x v="0"/>
    <n v="1"/>
    <s v="VADE"/>
    <s v="06.11.2025 12:47:00"/>
    <s v="07.11.2025 00:00:00"/>
    <n v="30"/>
  </r>
  <r>
    <s v="D3JDR05"/>
    <x v="3"/>
    <s v="D3J214127253121"/>
    <s v="D3J214127"/>
    <s v="TERRAS BAKKAL-KAZIM AYVAZOĞLUGİL"/>
    <s v="LAB100RCB"/>
    <s v="LARK Blue 100 RCB"/>
    <x v="1"/>
    <n v="0"/>
    <s v="VADE"/>
    <s v="06.11.2025 12:47:00"/>
    <s v="07.11.2025 00:00:00"/>
    <n v="30"/>
  </r>
  <r>
    <s v="D3JDR05"/>
    <x v="3"/>
    <s v="D3J214127253121"/>
    <s v="D3J214127"/>
    <s v="TERRAS BAKKAL-KAZIM AYVAZOĞLUGİL"/>
    <s v="MLTBLUE"/>
    <s v="MLR Touch Blue"/>
    <x v="0"/>
    <n v="4"/>
    <s v="VADE"/>
    <s v="06.11.2025 12:47:00"/>
    <s v="07.11.2025 00:00:00"/>
    <n v="30"/>
  </r>
  <r>
    <s v="D3JDR05"/>
    <x v="3"/>
    <s v="D3J214127253121"/>
    <s v="D3J214127"/>
    <s v="TERRAS BAKKAL-KAZIM AYVAZOĞLUGİL"/>
    <s v="CHNB100RCB"/>
    <s v="CH NavyB 100 RCB"/>
    <x v="0"/>
    <n v="1"/>
    <s v="VADE"/>
    <s v="06.11.2025 12:47:00"/>
    <s v="07.11.2025 00:00:00"/>
    <n v="30"/>
  </r>
  <r>
    <s v="D3JDR05"/>
    <x v="3"/>
    <s v="D3J214127253121"/>
    <s v="D3J214127"/>
    <s v="TERRAS BAKKAL-KAZIM AYVAZOĞLUGİL"/>
    <s v="MUABLU"/>
    <s v="MUA Blu Line KS"/>
    <x v="4"/>
    <n v="0"/>
    <s v="VADE"/>
    <s v="06.11.2025 12:47:00"/>
    <s v="07.11.2025 00:00:00"/>
    <n v="30"/>
  </r>
  <r>
    <s v="D3JDR05"/>
    <x v="3"/>
    <s v="D3J214127253121"/>
    <s v="D3J214127"/>
    <s v="TERRAS BAKKAL-KAZIM AYVAZOĞLUGİL"/>
    <s v="PL100"/>
    <s v="PL Night 100"/>
    <x v="0"/>
    <n v="1"/>
    <s v="VADE"/>
    <s v="06.11.2025 12:47:00"/>
    <s v="07.11.2025 00:00:00"/>
    <n v="30"/>
  </r>
  <r>
    <s v="D3JDR05"/>
    <x v="3"/>
    <s v="D3J214127253121"/>
    <s v="D3J214127"/>
    <s v="TERRAS BAKKAL-KAZIM AYVAZOĞLUGİL"/>
    <s v="MFTB"/>
    <s v="MLR KS Box"/>
    <x v="1"/>
    <n v="0"/>
    <s v="VADE"/>
    <s v="06.11.2025 12:47:00"/>
    <s v="07.11.2025 00:00:00"/>
    <n v="30"/>
  </r>
  <r>
    <s v="D3JDR05"/>
    <x v="3"/>
    <s v="D3J214127253121"/>
    <s v="D3J214127"/>
    <s v="TERRAS BAKKAL-KAZIM AYVAZOĞLUGİL"/>
    <s v="MLTGRAY"/>
    <s v="MLR Touch Gray"/>
    <x v="0"/>
    <n v="1"/>
    <s v="VADE"/>
    <s v="06.11.2025 12:47:00"/>
    <s v="07.11.2025 00:00:00"/>
    <n v="30"/>
  </r>
  <r>
    <s v="D3JDR05"/>
    <x v="3"/>
    <s v="D3J214127253121"/>
    <s v="D3J214127"/>
    <s v="TERRAS BAKKAL-KAZIM AYVAZOĞLUGİL"/>
    <s v="CHNAVYBRCB"/>
    <s v="CH NAVY BLUE RCB"/>
    <x v="1"/>
    <n v="0"/>
    <s v="VADE"/>
    <s v="06.11.2025 12:47:00"/>
    <s v="07.11.2025 00:00:00"/>
    <n v="30"/>
  </r>
  <r>
    <s v="D3JDR05"/>
    <x v="3"/>
    <s v="D3J214127253121"/>
    <s v="D3J214127"/>
    <s v="TERRAS BAKKAL-KAZIM AYVAZOĞLUGİL"/>
    <s v="PLRC"/>
    <s v="PL Night KS RCB"/>
    <x v="0"/>
    <n v="2"/>
    <s v="VADE"/>
    <s v="06.11.2025 12:47:00"/>
    <s v="07.11.2025 00:00:00"/>
    <n v="30"/>
  </r>
  <r>
    <s v="D3JDR05"/>
    <x v="3"/>
    <s v="D3J214127253121"/>
    <s v="D3J214127"/>
    <s v="TERRAS BAKKAL-KAZIM AYVAZOĞLUGİL"/>
    <s v="MLEDSLIMS"/>
    <s v="MLR Edge Slims 100 RCB"/>
    <x v="0"/>
    <n v="1"/>
    <s v="VADE"/>
    <s v="06.11.2025 12:47:00"/>
    <s v="07.11.2025 00:00:00"/>
    <n v="30"/>
  </r>
  <r>
    <s v="D3JDR05"/>
    <x v="3"/>
    <s v="D3J214127253121"/>
    <s v="D3J214127"/>
    <s v="TERRAS BAKKAL-KAZIM AYVAZOĞLUGİL"/>
    <s v="MLEDBLUE"/>
    <s v="MLR Edge Blue KS RCB"/>
    <x v="1"/>
    <n v="0"/>
    <s v="VADE"/>
    <s v="06.11.2025 12:47:00"/>
    <s v="07.11.2025 00:00:00"/>
    <n v="30"/>
  </r>
  <r>
    <s v="D3JDR09"/>
    <x v="6"/>
    <s v="D3J006141253121"/>
    <s v="D3J006141"/>
    <s v="YİĞİT BAKKALİYE - AYŞEGÜL GENCER"/>
    <s v="MLR100"/>
    <s v="MLR 100"/>
    <x v="0"/>
    <n v="1"/>
    <s v="HAVALE"/>
    <s v="06.11.2025 12:02:00"/>
    <s v="07.11.2025 00:00:00"/>
    <n v="25"/>
  </r>
  <r>
    <s v="D3JDR09"/>
    <x v="6"/>
    <s v="D3J006141253121"/>
    <s v="D3J006141"/>
    <s v="YİĞİT BAKKALİYE - AYŞEGÜL GENCER"/>
    <s v="MLEDGE"/>
    <s v="MLR Edge KS RCB"/>
    <x v="0"/>
    <n v="2"/>
    <s v="HAVALE"/>
    <s v="06.11.2025 12:02:00"/>
    <s v="07.11.2025 00:00:00"/>
    <n v="25"/>
  </r>
  <r>
    <s v="D3JDR09"/>
    <x v="6"/>
    <s v="D3J006141253121"/>
    <s v="D3J006141"/>
    <s v="YİĞİT BAKKALİYE - AYŞEGÜL GENCER"/>
    <s v="PLRC"/>
    <s v="PL Night KS RCB"/>
    <x v="0"/>
    <n v="2"/>
    <s v="HAVALE"/>
    <s v="06.11.2025 12:02:00"/>
    <s v="07.11.2025 00:00:00"/>
    <n v="25"/>
  </r>
  <r>
    <s v="D3JDR13"/>
    <x v="7"/>
    <s v="D3J131697253121"/>
    <s v="D3J131697"/>
    <s v="YILDIRIM BÜFE MÜFİT SABRİ YILDIRIM"/>
    <s v="MLEDGE"/>
    <s v="MLR Edge KS RCB"/>
    <x v="0"/>
    <n v="1"/>
    <s v="CASH"/>
    <s v="06.11.2025 11:45:00"/>
    <s v="07.11.2025 00:00:00"/>
    <n v="45"/>
  </r>
  <r>
    <s v="D3JDR13"/>
    <x v="7"/>
    <s v="D3J131697253121"/>
    <s v="D3J131697"/>
    <s v="YILDIRIM BÜFE MÜFİT SABRİ YILDIRIM"/>
    <s v="MLTBLUE"/>
    <s v="MLR Touch Blue"/>
    <x v="0"/>
    <n v="18"/>
    <s v="CASH"/>
    <s v="06.11.2025 11:45:00"/>
    <s v="07.11.2025 00:00:00"/>
    <n v="45"/>
  </r>
  <r>
    <s v="D3JDR13"/>
    <x v="7"/>
    <s v="D3J131697253121"/>
    <s v="D3J131697"/>
    <s v="YILDIRIM BÜFE MÜFİT SABRİ YILDIRIM"/>
    <s v="MFTB"/>
    <s v="MLR KS Box"/>
    <x v="0"/>
    <n v="1"/>
    <s v="CASH"/>
    <s v="06.11.2025 11:45:00"/>
    <s v="07.11.2025 00:00:00"/>
    <n v="45"/>
  </r>
  <r>
    <s v="D3JDR13"/>
    <x v="7"/>
    <s v="D3J131697253121"/>
    <s v="D3J131697"/>
    <s v="YILDIRIM BÜFE MÜFİT SABRİ YILDIRIM"/>
    <s v="LARKBRCB"/>
    <s v="LARK Blue Rec RCB"/>
    <x v="0"/>
    <n v="1"/>
    <s v="CASH"/>
    <s v="06.11.2025 11:45:00"/>
    <s v="07.11.2025 00:00:00"/>
    <n v="45"/>
  </r>
  <r>
    <s v="D3JDR13"/>
    <x v="7"/>
    <s v="D3J131697253121"/>
    <s v="D3J131697"/>
    <s v="YILDIRIM BÜFE MÜFİT SABRİ YILDIRIM"/>
    <s v="PLRC"/>
    <s v="PL Night KS RCB"/>
    <x v="0"/>
    <n v="8"/>
    <s v="CASH"/>
    <s v="06.11.2025 11:45:00"/>
    <s v="07.11.2025 00:00:00"/>
    <n v="45"/>
  </r>
  <r>
    <s v="D3JDR13"/>
    <x v="7"/>
    <s v="D3J131697253121"/>
    <s v="D3J131697"/>
    <s v="YILDIRIM BÜFE MÜFİT SABRİ YILDIRIM"/>
    <s v="MUARCB"/>
    <s v="MUA Rosso KS RCB"/>
    <x v="0"/>
    <n v="1"/>
    <s v="CASH"/>
    <s v="06.11.2025 11:45:00"/>
    <s v="07.11.2025 00:00:00"/>
    <n v="45"/>
  </r>
  <r>
    <s v="D3JDR13"/>
    <x v="7"/>
    <s v="D3J131697253121"/>
    <s v="D3J131697"/>
    <s v="YILDIRIM BÜFE MÜFİT SABRİ YILDIRIM"/>
    <s v="MLEDBLUE"/>
    <s v="MLR Edge Blue KS RCB"/>
    <x v="0"/>
    <n v="1"/>
    <s v="CASH"/>
    <s v="06.11.2025 11:45:00"/>
    <s v="07.11.2025 00:00:00"/>
    <n v="45"/>
  </r>
  <r>
    <s v="D3JDR14"/>
    <x v="8"/>
    <s v="D3J004802253121"/>
    <s v="D3J004802"/>
    <s v="BAKKAL-ŞARKÜTERİ  ERKAN ARSLAN"/>
    <s v="PLMNRCB"/>
    <s v="PL Midnight Blue RCB"/>
    <x v="0"/>
    <n v="3"/>
    <s v="VADE"/>
    <s v="06.11.2025 11:41:00"/>
    <s v="07.11.2025 00:00:00"/>
    <n v="44"/>
  </r>
  <r>
    <s v="D3JDR14"/>
    <x v="8"/>
    <s v="D3J004802253121"/>
    <s v="D3J004802"/>
    <s v="BAKKAL-ŞARKÜTERİ  ERKAN ARSLAN"/>
    <s v="PLLRC"/>
    <s v="PL Aqua B.KS RCB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MLEDGE"/>
    <s v="MLR Edge KS RCB"/>
    <x v="0"/>
    <n v="10"/>
    <s v="VADE"/>
    <s v="06.11.2025 11:41:00"/>
    <s v="07.11.2025 00:00:00"/>
    <n v="44"/>
  </r>
  <r>
    <s v="D3JDR14"/>
    <x v="8"/>
    <s v="D3J004802253121"/>
    <s v="D3J004802"/>
    <s v="BAKKAL-ŞARKÜTERİ  ERKAN ARSLAN"/>
    <s v="LAB100RCB"/>
    <s v="LARK Blue 100 RCB"/>
    <x v="0"/>
    <n v="2"/>
    <s v="VADE"/>
    <s v="06.11.2025 11:41:00"/>
    <s v="07.11.2025 00:00:00"/>
    <n v="44"/>
  </r>
  <r>
    <s v="D3JDR14"/>
    <x v="8"/>
    <s v="D3J004802253121"/>
    <s v="D3J004802"/>
    <s v="BAKKAL-ŞARKÜTERİ  ERKAN ARSLAN"/>
    <s v="MLTBLUE"/>
    <s v="MLR Touch Blue"/>
    <x v="0"/>
    <n v="6"/>
    <s v="VADE"/>
    <s v="06.11.2025 11:41:00"/>
    <s v="07.11.2025 00:00:00"/>
    <n v="44"/>
  </r>
  <r>
    <s v="D3JDR14"/>
    <x v="8"/>
    <s v="D3J004802253121"/>
    <s v="D3J004802"/>
    <s v="BAKKAL-ŞARKÜTERİ  ERKAN ARSLAN"/>
    <s v="PLABS100"/>
    <s v="PL Aqua B.Slims 100 RCB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MUABLU"/>
    <s v="MUA Blu Line KS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PL100"/>
    <s v="PL Night 100"/>
    <x v="0"/>
    <n v="5"/>
    <s v="VADE"/>
    <s v="06.11.2025 11:41:00"/>
    <s v="07.11.2025 00:00:00"/>
    <n v="44"/>
  </r>
  <r>
    <s v="D3JDR14"/>
    <x v="8"/>
    <s v="D3J004802253121"/>
    <s v="D3J004802"/>
    <s v="BAKKAL-ŞARKÜTERİ  ERKAN ARSLAN"/>
    <s v="MLTGRAY"/>
    <s v="MLR Touch Gray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CHNAVYBRCB"/>
    <s v="CH NAVY BLUE RCB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LARKBRCB"/>
    <s v="LARK Blue Rec RCB"/>
    <x v="0"/>
    <n v="2"/>
    <s v="VADE"/>
    <s v="06.11.2025 11:41:00"/>
    <s v="07.11.2025 00:00:00"/>
    <n v="44"/>
  </r>
  <r>
    <s v="D3JDR14"/>
    <x v="8"/>
    <s v="D3J004802253121"/>
    <s v="D3J004802"/>
    <s v="BAKKAL-ŞARKÜTERİ  ERKAN ARSLAN"/>
    <s v="PLRC"/>
    <s v="PL Night KS RCB"/>
    <x v="0"/>
    <n v="8"/>
    <s v="VADE"/>
    <s v="06.11.2025 11:41:00"/>
    <s v="07.11.2025 00:00:00"/>
    <n v="44"/>
  </r>
  <r>
    <s v="D3JDR14"/>
    <x v="8"/>
    <s v="D3J004802253121"/>
    <s v="D3J004802"/>
    <s v="BAKKAL-ŞARKÜTERİ  ERKAN ARSLAN"/>
    <s v="MUARCB"/>
    <s v="MUA Rosso KS RCB"/>
    <x v="0"/>
    <n v="3"/>
    <s v="VADE"/>
    <s v="06.11.2025 11:41:00"/>
    <s v="07.11.2025 00:00:00"/>
    <n v="44"/>
  </r>
  <r>
    <s v="D3JDR14"/>
    <x v="8"/>
    <s v="D3J004802253121"/>
    <s v="D3J004802"/>
    <s v="BAKKAL-ŞARKÜTERİ  ERKAN ARSLAN"/>
    <s v="PLLONGRCB"/>
    <s v="PL Night Blue Long RCB"/>
    <x v="0"/>
    <n v="1"/>
    <s v="VADE"/>
    <s v="06.11.2025 11:41:00"/>
    <s v="07.11.2025 00:00:00"/>
    <n v="44"/>
  </r>
  <r>
    <s v="D3JDR14"/>
    <x v="8"/>
    <s v="D3J004802253121"/>
    <s v="D3J004802"/>
    <s v="BAKKAL-ŞARKÜTERİ  ERKAN ARSLAN"/>
    <s v="MLEDBLUE"/>
    <s v="MLR Edge Blue KS RCB"/>
    <x v="0"/>
    <n v="3"/>
    <s v="VADE"/>
    <s v="06.11.2025 11:41:00"/>
    <s v="07.11.2025 00:00:00"/>
    <n v="44"/>
  </r>
  <r>
    <s v="D3JDR14"/>
    <x v="8"/>
    <s v="D3J004802253121"/>
    <s v="D3J004802"/>
    <s v="BAKKAL-ŞARKÜTERİ  ERKAN ARSLAN"/>
    <s v="LM100RCB"/>
    <s v="L&amp;M Red 100 RCB"/>
    <x v="0"/>
    <n v="1"/>
    <s v="VADE"/>
    <s v="06.11.2025 11:41:00"/>
    <s v="07.11.2025 00:00:00"/>
    <n v="44"/>
  </r>
  <r>
    <s v="D3JDR14"/>
    <x v="8"/>
    <s v="D3J074517253121"/>
    <s v="D3J074517"/>
    <s v="KENTGROSS-ADLIYE"/>
    <s v="PLMNRCB"/>
    <s v="PL Midnight Blue RCB"/>
    <x v="0"/>
    <n v="2"/>
    <s v="HAVALE"/>
    <s v="06.11.2025 11:35:00"/>
    <s v="07.11.2025 00:00:00"/>
    <n v="47"/>
  </r>
  <r>
    <s v="D3JDR14"/>
    <x v="8"/>
    <s v="D3J074517253121"/>
    <s v="D3J074517"/>
    <s v="KENTGROSS-ADLIYE"/>
    <s v="MLFTB"/>
    <s v="MLR Touch KS Box"/>
    <x v="0"/>
    <n v="1"/>
    <s v="HAVALE"/>
    <s v="06.11.2025 11:35:00"/>
    <s v="07.11.2025 00:00:00"/>
    <n v="47"/>
  </r>
  <r>
    <s v="D3JDR14"/>
    <x v="8"/>
    <s v="D3J074517253121"/>
    <s v="D3J074517"/>
    <s v="KENTGROSS-ADLIYE"/>
    <s v="CHMODENAVY"/>
    <s v="CH MODE NAVY"/>
    <x v="3"/>
    <n v="0"/>
    <s v="HAVALE"/>
    <s v="06.11.2025 11:35:00"/>
    <s v="07.11.2025 00:00:00"/>
    <n v="47"/>
  </r>
  <r>
    <s v="D3JDR14"/>
    <x v="8"/>
    <s v="D3J074517253121"/>
    <s v="D3J074517"/>
    <s v="KENTGROSS-ADLIYE"/>
    <s v="MLEDGE"/>
    <s v="MLR Edge KS RCB"/>
    <x v="0"/>
    <n v="8"/>
    <s v="HAVALE"/>
    <s v="06.11.2025 11:35:00"/>
    <s v="07.11.2025 00:00:00"/>
    <n v="47"/>
  </r>
  <r>
    <s v="D3JDR14"/>
    <x v="8"/>
    <s v="D3J074517253121"/>
    <s v="D3J074517"/>
    <s v="KENTGROSS-ADLIYE"/>
    <s v="PLRSVRCB"/>
    <s v="PL Reserve KS RCB"/>
    <x v="0"/>
    <n v="1"/>
    <s v="HAVALE"/>
    <s v="06.11.2025 11:35:00"/>
    <s v="07.11.2025 00:00:00"/>
    <n v="47"/>
  </r>
  <r>
    <s v="D3JDR14"/>
    <x v="8"/>
    <s v="D3J074517253121"/>
    <s v="D3J074517"/>
    <s v="KENTGROSS-ADLIYE"/>
    <s v="MLTBLUE"/>
    <s v="MLR Touch Blue"/>
    <x v="0"/>
    <n v="25"/>
    <s v="HAVALE"/>
    <s v="06.11.2025 11:35:00"/>
    <s v="07.11.2025 00:00:00"/>
    <n v="47"/>
  </r>
  <r>
    <s v="D3JDR14"/>
    <x v="8"/>
    <s v="D3J074517253121"/>
    <s v="D3J074517"/>
    <s v="KENTGROSS-ADLIYE"/>
    <s v="MUABLU"/>
    <s v="MUA Blu Line KS"/>
    <x v="3"/>
    <n v="0"/>
    <s v="HAVALE"/>
    <s v="06.11.2025 11:35:00"/>
    <s v="07.11.2025 00:00:00"/>
    <n v="47"/>
  </r>
  <r>
    <s v="D3JDR14"/>
    <x v="8"/>
    <s v="D3J074517253121"/>
    <s v="D3J074517"/>
    <s v="KENTGROSS-ADLIYE"/>
    <s v="PL100"/>
    <s v="PL Night 100"/>
    <x v="0"/>
    <n v="7"/>
    <s v="HAVALE"/>
    <s v="06.11.2025 11:35:00"/>
    <s v="07.11.2025 00:00:00"/>
    <n v="47"/>
  </r>
  <r>
    <s v="D3JDR14"/>
    <x v="8"/>
    <s v="D3J074517253121"/>
    <s v="D3J074517"/>
    <s v="KENTGROSS-ADLIYE"/>
    <s v="MFTB"/>
    <s v="MLR KS Box"/>
    <x v="0"/>
    <n v="1"/>
    <s v="HAVALE"/>
    <s v="06.11.2025 11:35:00"/>
    <s v="07.11.2025 00:00:00"/>
    <n v="47"/>
  </r>
  <r>
    <s v="D3JDR14"/>
    <x v="8"/>
    <s v="D3J074517253121"/>
    <s v="D3J074517"/>
    <s v="KENTGROSS-ADLIYE"/>
    <s v="MLTGRAY"/>
    <s v="MLR Touch Gray"/>
    <x v="0"/>
    <n v="1"/>
    <s v="HAVALE"/>
    <s v="06.11.2025 11:35:00"/>
    <s v="07.11.2025 00:00:00"/>
    <n v="47"/>
  </r>
  <r>
    <s v="D3JDR14"/>
    <x v="8"/>
    <s v="D3J074517253121"/>
    <s v="D3J074517"/>
    <s v="KENTGROSS-ADLIYE"/>
    <s v="CHNAVYBRCB"/>
    <s v="CH NAVY BLUE RCB"/>
    <x v="0"/>
    <n v="1"/>
    <s v="HAVALE"/>
    <s v="06.11.2025 11:35:00"/>
    <s v="07.11.2025 00:00:00"/>
    <n v="47"/>
  </r>
  <r>
    <s v="D3JDR14"/>
    <x v="8"/>
    <s v="D3J074517253121"/>
    <s v="D3J074517"/>
    <s v="KENTGROSS-ADLIYE"/>
    <s v="LARKBRCB"/>
    <s v="LARK Blue Rec RCB"/>
    <x v="0"/>
    <n v="2"/>
    <s v="HAVALE"/>
    <s v="06.11.2025 11:35:00"/>
    <s v="07.11.2025 00:00:00"/>
    <n v="47"/>
  </r>
  <r>
    <s v="D3JDR14"/>
    <x v="8"/>
    <s v="D3J074517253121"/>
    <s v="D3J074517"/>
    <s v="KENTGROSS-ADLIYE"/>
    <s v="PLRC"/>
    <s v="PL Night KS RCB"/>
    <x v="0"/>
    <n v="10"/>
    <s v="HAVALE"/>
    <s v="06.11.2025 11:35:00"/>
    <s v="07.11.2025 00:00:00"/>
    <n v="47"/>
  </r>
  <r>
    <s v="D3JDR14"/>
    <x v="8"/>
    <s v="D3J074517253121"/>
    <s v="D3J074517"/>
    <s v="KENTGROSS-ADLIYE"/>
    <s v="MLEDSLIMS"/>
    <s v="MLR Edge Slims 100 RCB"/>
    <x v="0"/>
    <n v="4"/>
    <s v="HAVALE"/>
    <s v="06.11.2025 11:35:00"/>
    <s v="07.11.2025 00:00:00"/>
    <n v="47"/>
  </r>
  <r>
    <s v="D3JDR14"/>
    <x v="8"/>
    <s v="D3J074517253121"/>
    <s v="D3J074517"/>
    <s v="KENTGROSS-ADLIYE"/>
    <s v="MUARCB"/>
    <s v="MUA Rosso KS RCB"/>
    <x v="0"/>
    <n v="2"/>
    <s v="HAVALE"/>
    <s v="06.11.2025 11:35:00"/>
    <s v="07.11.2025 00:00:00"/>
    <n v="47"/>
  </r>
  <r>
    <s v="D3JDR14"/>
    <x v="8"/>
    <s v="D3J074517253121"/>
    <s v="D3J074517"/>
    <s v="KENTGROSS-ADLIYE"/>
    <s v="MLEDBLUE"/>
    <s v="MLR Edge Blue KS RCB"/>
    <x v="0"/>
    <n v="6"/>
    <s v="HAVALE"/>
    <s v="06.11.2025 11:35:00"/>
    <s v="07.11.2025 00:00:00"/>
    <n v="47"/>
  </r>
  <r>
    <s v="D3JDR14"/>
    <x v="8"/>
    <s v="D3J074517253121"/>
    <s v="D3J074517"/>
    <s v="KENTGROSS-ADLIYE"/>
    <s v="LM100RCB"/>
    <s v="L&amp;M Red 100 RCB"/>
    <x v="0"/>
    <n v="1"/>
    <s v="HAVALE"/>
    <s v="06.11.2025 11:35:00"/>
    <s v="07.11.2025 00:00:00"/>
    <n v="47"/>
  </r>
  <r>
    <s v="D3JDR08"/>
    <x v="5"/>
    <s v="D3J219714253121"/>
    <s v="D3J219714"/>
    <s v="YUSUF EL HÜSEYİN"/>
    <s v="PLMNRCB"/>
    <s v="PL Midnight Blue RCB"/>
    <x v="0"/>
    <n v="1"/>
    <s v="HAVALE"/>
    <s v="06.11.2025 11:35:00"/>
    <s v="07.11.2025 00:00:00"/>
    <n v="32"/>
  </r>
  <r>
    <s v="D3JDR08"/>
    <x v="5"/>
    <s v="D3J219714253121"/>
    <s v="D3J219714"/>
    <s v="YUSUF EL HÜSEYİN"/>
    <s v="MLFTB"/>
    <s v="MLR Touch KS Box"/>
    <x v="0"/>
    <n v="1"/>
    <s v="HAVALE"/>
    <s v="06.11.2025 11:35:00"/>
    <s v="07.11.2025 00:00:00"/>
    <n v="32"/>
  </r>
  <r>
    <s v="D3JDR08"/>
    <x v="5"/>
    <s v="D3J219714253121"/>
    <s v="D3J219714"/>
    <s v="YUSUF EL HÜSEYİN"/>
    <s v="MLR100"/>
    <s v="MLR 100"/>
    <x v="0"/>
    <n v="1"/>
    <s v="HAVALE"/>
    <s v="06.11.2025 11:35:00"/>
    <s v="07.11.2025 00:00:00"/>
    <n v="32"/>
  </r>
  <r>
    <s v="D3JDR08"/>
    <x v="5"/>
    <s v="D3J219714253121"/>
    <s v="D3J219714"/>
    <s v="YUSUF EL HÜSEYİN"/>
    <s v="MLEDGE"/>
    <s v="MLR Edge KS RCB"/>
    <x v="0"/>
    <n v="4"/>
    <s v="HAVALE"/>
    <s v="06.11.2025 11:35:00"/>
    <s v="07.11.2025 00:00:00"/>
    <n v="32"/>
  </r>
  <r>
    <s v="D3JDR08"/>
    <x v="5"/>
    <s v="D3J219714253121"/>
    <s v="D3J219714"/>
    <s v="YUSUF EL HÜSEYİN"/>
    <s v="LMRCB"/>
    <s v="L&amp;M Red KS RCB"/>
    <x v="0"/>
    <n v="2"/>
    <s v="HAVALE"/>
    <s v="06.11.2025 11:35:00"/>
    <s v="07.11.2025 00:00:00"/>
    <n v="32"/>
  </r>
  <r>
    <s v="D3JDR08"/>
    <x v="5"/>
    <s v="D3J219714253121"/>
    <s v="D3J219714"/>
    <s v="YUSUF EL HÜSEYİN"/>
    <s v="LAB100RCB"/>
    <s v="LARK Blue 100 RCB"/>
    <x v="0"/>
    <n v="2"/>
    <s v="HAVALE"/>
    <s v="06.11.2025 11:35:00"/>
    <s v="07.11.2025 00:00:00"/>
    <n v="32"/>
  </r>
  <r>
    <s v="D3JDR08"/>
    <x v="5"/>
    <s v="D3J219714253121"/>
    <s v="D3J219714"/>
    <s v="YUSUF EL HÜSEYİN"/>
    <s v="MLTBLUE"/>
    <s v="MLR Touch Blue"/>
    <x v="0"/>
    <n v="3"/>
    <s v="HAVALE"/>
    <s v="06.11.2025 11:35:00"/>
    <s v="07.11.2025 00:00:00"/>
    <n v="32"/>
  </r>
  <r>
    <s v="D3JDR08"/>
    <x v="5"/>
    <s v="D3J219714253121"/>
    <s v="D3J219714"/>
    <s v="YUSUF EL HÜSEYİN"/>
    <s v="LARKBRCB"/>
    <s v="LARK Blue Rec RCB"/>
    <x v="0"/>
    <n v="1"/>
    <s v="HAVALE"/>
    <s v="06.11.2025 11:35:00"/>
    <s v="07.11.2025 00:00:00"/>
    <n v="32"/>
  </r>
  <r>
    <s v="D3JDR08"/>
    <x v="5"/>
    <s v="D3J219714253121"/>
    <s v="D3J219714"/>
    <s v="YUSUF EL HÜSEYİN"/>
    <s v="PLRC"/>
    <s v="PL Night KS RCB"/>
    <x v="0"/>
    <n v="8"/>
    <s v="HAVALE"/>
    <s v="06.11.2025 11:35:00"/>
    <s v="07.11.2025 00:00:00"/>
    <n v="32"/>
  </r>
  <r>
    <s v="D3JDR08"/>
    <x v="5"/>
    <s v="D3J219714253121"/>
    <s v="D3J219714"/>
    <s v="YUSUF EL HÜSEYİN"/>
    <s v="PLLONGRCB"/>
    <s v="PL Night Blue Long RCB"/>
    <x v="3"/>
    <n v="0"/>
    <s v="HAVALE"/>
    <s v="06.11.2025 11:35:00"/>
    <s v="07.11.2025 00:00:00"/>
    <n v="32"/>
  </r>
  <r>
    <s v="D3JDR08"/>
    <x v="5"/>
    <s v="D3J219714253121"/>
    <s v="D3J219714"/>
    <s v="YUSUF EL HÜSEYİN"/>
    <s v="MLEDBLUE"/>
    <s v="MLR Edge Blue KS RCB"/>
    <x v="0"/>
    <n v="1"/>
    <s v="HAVALE"/>
    <s v="06.11.2025 11:35:00"/>
    <s v="07.11.2025 00:00:00"/>
    <n v="32"/>
  </r>
  <r>
    <s v="D3JDR03"/>
    <x v="12"/>
    <s v="030039234253122"/>
    <s v="030039234"/>
    <s v="TELEFONCULAR PET. ÜRÜN VE OTOM. SAN. TİC. LTD. ŞTİ."/>
    <s v="PLMNRCB"/>
    <s v="PL Midnight Blue RCB"/>
    <x v="0"/>
    <n v="3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FTB"/>
    <s v="MLR Touch KS Box"/>
    <x v="0"/>
    <n v="1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R100"/>
    <s v="MLR 100"/>
    <x v="0"/>
    <n v="1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PLLRC"/>
    <s v="PL Aqua B.KS RCB"/>
    <x v="0"/>
    <n v="2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EDGE"/>
    <s v="MLR Edge KS RCB"/>
    <x v="0"/>
    <n v="12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PLRSVRCB"/>
    <s v="PL Reserve KS RCB"/>
    <x v="0"/>
    <n v="1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TBLUE"/>
    <s v="MLR Touch Blue"/>
    <x v="0"/>
    <n v="15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PLABS100"/>
    <s v="PL Aqua B.Slims 100 RCB"/>
    <x v="0"/>
    <n v="1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PL100"/>
    <s v="PL Night 100"/>
    <x v="0"/>
    <n v="12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FTB"/>
    <s v="MLR KS Box"/>
    <x v="0"/>
    <n v="3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CHNAVYBRCB"/>
    <s v="CH NAVY BLUE RCB"/>
    <x v="0"/>
    <n v="2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LARKBRCB"/>
    <s v="LARK Blue Rec RCB"/>
    <x v="0"/>
    <n v="1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PLRC"/>
    <s v="PL Night KS RCB"/>
    <x v="0"/>
    <n v="6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EDSLIMS"/>
    <s v="MLR Edge Slims 100 RCB"/>
    <x v="0"/>
    <n v="2"/>
    <s v="HAVALE"/>
    <s v="06.11.2025 11:34:00"/>
    <s v="07.11.2025 00:00:00"/>
    <n v="33"/>
  </r>
  <r>
    <s v="D3JDR03"/>
    <x v="12"/>
    <s v="030039234253122"/>
    <s v="030039234"/>
    <s v="TELEFONCULAR PET. ÜRÜN VE OTOM. SAN. TİC. LTD. ŞTİ."/>
    <s v="MLEDBLUE"/>
    <s v="MLR Edge Blue KS RCB"/>
    <x v="0"/>
    <n v="5"/>
    <s v="HAVALE"/>
    <s v="06.11.2025 11:34:00"/>
    <s v="07.11.2025 00:00:00"/>
    <n v="33"/>
  </r>
  <r>
    <s v="D3JDR04"/>
    <x v="0"/>
    <s v="D3J170214253121"/>
    <s v="D3J170214"/>
    <s v="SEÇ MARKET - FADİME SARIBAŞ"/>
    <s v="MLFTB"/>
    <s v="MLR Touch KS Box"/>
    <x v="1"/>
    <n v="0"/>
    <s v="VADE"/>
    <s v="06.11.2025 11:33:00"/>
    <s v="07.11.2025 00:00:00"/>
    <n v="5"/>
  </r>
  <r>
    <s v="D3JDR04"/>
    <x v="0"/>
    <s v="D3J170214253121"/>
    <s v="D3J170214"/>
    <s v="SEÇ MARKET - FADİME SARIBAŞ"/>
    <s v="MLEDGE"/>
    <s v="MLR Edge KS RCB"/>
    <x v="0"/>
    <n v="1"/>
    <s v="VADE"/>
    <s v="06.11.2025 11:33:00"/>
    <s v="07.11.2025 00:00:00"/>
    <n v="5"/>
  </r>
  <r>
    <s v="D3JDR04"/>
    <x v="0"/>
    <s v="D3J170214253121"/>
    <s v="D3J170214"/>
    <s v="SEÇ MARKET - FADİME SARIBAŞ"/>
    <s v="MLROLL50"/>
    <s v="MLR Roll 50"/>
    <x v="2"/>
    <n v="0"/>
    <s v="VADE"/>
    <s v="06.11.2025 11:33:00"/>
    <s v="07.11.2025 00:00:00"/>
    <n v="5"/>
  </r>
  <r>
    <s v="D3JDR04"/>
    <x v="0"/>
    <s v="D3J170214253121"/>
    <s v="D3J170214"/>
    <s v="SEÇ MARKET - FADİME SARIBAŞ"/>
    <s v="PLRC"/>
    <s v="PL Night KS RCB"/>
    <x v="0"/>
    <n v="2"/>
    <s v="VADE"/>
    <s v="06.11.2025 11:33:00"/>
    <s v="07.11.2025 00:00:00"/>
    <n v="5"/>
  </r>
  <r>
    <s v="D3JDR13"/>
    <x v="7"/>
    <s v="D3J006145253121"/>
    <s v="D3J006145"/>
    <s v="ERİŞ GIDA MARKET-TEVFİK ERİŞ"/>
    <s v="PLMNRCB"/>
    <s v="PL Midnight Blue RCB"/>
    <x v="0"/>
    <n v="4"/>
    <s v="VADE"/>
    <s v="06.11.2025 10:56:00"/>
    <s v="07.11.2025 00:00:00"/>
    <n v="44"/>
  </r>
  <r>
    <s v="D3JDR13"/>
    <x v="7"/>
    <s v="D3J006145253121"/>
    <s v="D3J006145"/>
    <s v="ERİŞ GIDA MARKET-TEVFİK ERİŞ"/>
    <s v="PLLRC"/>
    <s v="PL Aqua B.KS RCB"/>
    <x v="0"/>
    <n v="1"/>
    <s v="VADE"/>
    <s v="06.11.2025 10:56:00"/>
    <s v="07.11.2025 00:00:00"/>
    <n v="44"/>
  </r>
  <r>
    <s v="D3JDR13"/>
    <x v="7"/>
    <s v="D3J006145253121"/>
    <s v="D3J006145"/>
    <s v="ERİŞ GIDA MARKET-TEVFİK ERİŞ"/>
    <s v="MLEDGE"/>
    <s v="MLR Edge KS RCB"/>
    <x v="0"/>
    <n v="4"/>
    <s v="VADE"/>
    <s v="06.11.2025 10:56:00"/>
    <s v="07.11.2025 00:00:00"/>
    <n v="44"/>
  </r>
  <r>
    <s v="D3JDR13"/>
    <x v="7"/>
    <s v="D3J006145253121"/>
    <s v="D3J006145"/>
    <s v="ERİŞ GIDA MARKET-TEVFİK ERİŞ"/>
    <s v="LAB100RCB"/>
    <s v="LARK Blue 100 RCB"/>
    <x v="1"/>
    <n v="0"/>
    <s v="VADE"/>
    <s v="06.11.2025 10:56:00"/>
    <s v="07.11.2025 00:00:00"/>
    <n v="44"/>
  </r>
  <r>
    <s v="D3JDR13"/>
    <x v="7"/>
    <s v="D3J006145253121"/>
    <s v="D3J006145"/>
    <s v="ERİŞ GIDA MARKET-TEVFİK ERİŞ"/>
    <s v="MLTBLUE"/>
    <s v="MLR Touch Blue"/>
    <x v="0"/>
    <n v="6"/>
    <s v="VADE"/>
    <s v="06.11.2025 10:56:00"/>
    <s v="07.11.2025 00:00:00"/>
    <n v="44"/>
  </r>
  <r>
    <s v="D3JDR13"/>
    <x v="7"/>
    <s v="D3J006145253121"/>
    <s v="D3J006145"/>
    <s v="ERİŞ GIDA MARKET-TEVFİK ERİŞ"/>
    <s v="CHNB100RCB"/>
    <s v="CH NavyB 100 RCB"/>
    <x v="0"/>
    <n v="1"/>
    <s v="VADE"/>
    <s v="06.11.2025 10:56:00"/>
    <s v="07.11.2025 00:00:00"/>
    <n v="44"/>
  </r>
  <r>
    <s v="D3JDR13"/>
    <x v="7"/>
    <s v="D3J006145253121"/>
    <s v="D3J006145"/>
    <s v="ERİŞ GIDA MARKET-TEVFİK ERİŞ"/>
    <s v="PL100"/>
    <s v="PL Night 100"/>
    <x v="0"/>
    <n v="2"/>
    <s v="VADE"/>
    <s v="06.11.2025 10:56:00"/>
    <s v="07.11.2025 00:00:00"/>
    <n v="44"/>
  </r>
  <r>
    <s v="D3JDR13"/>
    <x v="7"/>
    <s v="D3J006145253121"/>
    <s v="D3J006145"/>
    <s v="ERİŞ GIDA MARKET-TEVFİK ERİŞ"/>
    <s v="LARKBRCB"/>
    <s v="LARK Blue Rec RCB"/>
    <x v="1"/>
    <n v="0"/>
    <s v="VADE"/>
    <s v="06.11.2025 10:56:00"/>
    <s v="07.11.2025 00:00:00"/>
    <n v="44"/>
  </r>
  <r>
    <s v="D3JDR13"/>
    <x v="7"/>
    <s v="D3J006145253121"/>
    <s v="D3J006145"/>
    <s v="ERİŞ GIDA MARKET-TEVFİK ERİŞ"/>
    <s v="MLEDSLIMS"/>
    <s v="MLR Edge Slims 100 RCB"/>
    <x v="4"/>
    <n v="0"/>
    <s v="VADE"/>
    <s v="06.11.2025 10:56:00"/>
    <s v="07.11.2025 00:00:00"/>
    <n v="44"/>
  </r>
  <r>
    <s v="D3JDR13"/>
    <x v="7"/>
    <s v="D3J006145253121"/>
    <s v="D3J006145"/>
    <s v="ERİŞ GIDA MARKET-TEVFİK ERİŞ"/>
    <s v="PLLONGRCB"/>
    <s v="PL Night Blue Long RCB"/>
    <x v="2"/>
    <n v="0"/>
    <s v="VADE"/>
    <s v="06.11.2025 10:56:00"/>
    <s v="07.11.2025 00:00:00"/>
    <n v="44"/>
  </r>
  <r>
    <s v="D3JDR13"/>
    <x v="7"/>
    <s v="D3J006145253121"/>
    <s v="D3J006145"/>
    <s v="ERİŞ GIDA MARKET-TEVFİK ERİŞ"/>
    <s v="MLEDBLUE"/>
    <s v="MLR Edge Blue KS RCB"/>
    <x v="0"/>
    <n v="2"/>
    <s v="VADE"/>
    <s v="06.11.2025 10:56:00"/>
    <s v="07.11.2025 00:00:00"/>
    <n v="44"/>
  </r>
  <r>
    <s v="D3JDR13"/>
    <x v="7"/>
    <s v="030038958253121"/>
    <s v="030038958"/>
    <s v="GÜNEŞLİ GIDA CUMA BOZGÖZ"/>
    <s v="PLMNRCB"/>
    <s v="PL Midnight Blue RCB"/>
    <x v="0"/>
    <n v="1"/>
    <s v="VADE"/>
    <s v="06.11.2025 10:45:00"/>
    <s v="07.11.2025 00:00:00"/>
    <n v="41"/>
  </r>
  <r>
    <s v="D3JDR13"/>
    <x v="7"/>
    <s v="030038958253121"/>
    <s v="030038958"/>
    <s v="GÜNEŞLİ GIDA CUMA BOZGÖZ"/>
    <s v="MLFTB"/>
    <s v="MLR Touch KS Box"/>
    <x v="0"/>
    <n v="1"/>
    <s v="VADE"/>
    <s v="06.11.2025 10:45:00"/>
    <s v="07.11.2025 00:00:00"/>
    <n v="41"/>
  </r>
  <r>
    <s v="D3JDR13"/>
    <x v="7"/>
    <s v="030038958253121"/>
    <s v="030038958"/>
    <s v="GÜNEŞLİ GIDA CUMA BOZGÖZ"/>
    <s v="MLR100"/>
    <s v="MLR 100"/>
    <x v="0"/>
    <n v="2"/>
    <s v="VADE"/>
    <s v="06.11.2025 10:45:00"/>
    <s v="07.11.2025 00:00:00"/>
    <n v="41"/>
  </r>
  <r>
    <s v="D3JDR13"/>
    <x v="7"/>
    <s v="030038958253121"/>
    <s v="030038958"/>
    <s v="GÜNEŞLİ GIDA CUMA BOZGÖZ"/>
    <s v="MLEDGE"/>
    <s v="MLR Edge KS RCB"/>
    <x v="0"/>
    <n v="2"/>
    <s v="VADE"/>
    <s v="06.11.2025 10:45:00"/>
    <s v="07.11.2025 00:00:00"/>
    <n v="41"/>
  </r>
  <r>
    <s v="D3JDR13"/>
    <x v="7"/>
    <s v="030038958253121"/>
    <s v="030038958"/>
    <s v="GÜNEŞLİ GIDA CUMA BOZGÖZ"/>
    <s v="LMRCB"/>
    <s v="L&amp;M Red KS RCB"/>
    <x v="1"/>
    <n v="0"/>
    <s v="VADE"/>
    <s v="06.11.2025 10:45:00"/>
    <s v="07.11.2025 00:00:00"/>
    <n v="41"/>
  </r>
  <r>
    <s v="D3JDR13"/>
    <x v="7"/>
    <s v="030038958253121"/>
    <s v="030038958"/>
    <s v="GÜNEŞLİ GIDA CUMA BOZGÖZ"/>
    <s v="LAB100RCB"/>
    <s v="LARK Blue 100 RCB"/>
    <x v="1"/>
    <n v="0"/>
    <s v="VADE"/>
    <s v="06.11.2025 10:45:00"/>
    <s v="07.11.2025 00:00:00"/>
    <n v="41"/>
  </r>
  <r>
    <s v="D3JDR13"/>
    <x v="7"/>
    <s v="030038958253121"/>
    <s v="030038958"/>
    <s v="GÜNEŞLİ GIDA CUMA BOZGÖZ"/>
    <s v="MLTBLUE"/>
    <s v="MLR Touch Blue"/>
    <x v="0"/>
    <n v="2"/>
    <s v="VADE"/>
    <s v="06.11.2025 10:45:00"/>
    <s v="07.11.2025 00:00:00"/>
    <n v="41"/>
  </r>
  <r>
    <s v="D3JDR13"/>
    <x v="7"/>
    <s v="030038958253121"/>
    <s v="030038958"/>
    <s v="GÜNEŞLİ GIDA CUMA BOZGÖZ"/>
    <s v="PLABS100"/>
    <s v="PL Aqua B.Slims 100 RCB"/>
    <x v="1"/>
    <n v="0"/>
    <s v="VADE"/>
    <s v="06.11.2025 10:45:00"/>
    <s v="07.11.2025 00:00:00"/>
    <n v="41"/>
  </r>
  <r>
    <s v="D3JDR13"/>
    <x v="7"/>
    <s v="030038958253121"/>
    <s v="030038958"/>
    <s v="GÜNEŞLİ GIDA CUMA BOZGÖZ"/>
    <s v="PL100"/>
    <s v="PL Night 100"/>
    <x v="0"/>
    <n v="5"/>
    <s v="VADE"/>
    <s v="06.11.2025 10:45:00"/>
    <s v="07.11.2025 00:00:00"/>
    <n v="41"/>
  </r>
  <r>
    <s v="D3JDR13"/>
    <x v="7"/>
    <s v="030038958253121"/>
    <s v="030038958"/>
    <s v="GÜNEŞLİ GIDA CUMA BOZGÖZ"/>
    <s v="MFTB"/>
    <s v="MLR KS Box"/>
    <x v="1"/>
    <n v="0"/>
    <s v="VADE"/>
    <s v="06.11.2025 10:45:00"/>
    <s v="07.11.2025 00:00:00"/>
    <n v="41"/>
  </r>
  <r>
    <s v="D3JDR13"/>
    <x v="7"/>
    <s v="030038958253121"/>
    <s v="030038958"/>
    <s v="GÜNEŞLİ GIDA CUMA BOZGÖZ"/>
    <s v="MLTGRAY"/>
    <s v="MLR Touch Gray"/>
    <x v="0"/>
    <n v="2"/>
    <s v="VADE"/>
    <s v="06.11.2025 10:45:00"/>
    <s v="07.11.2025 00:00:00"/>
    <n v="41"/>
  </r>
  <r>
    <s v="D3JDR13"/>
    <x v="7"/>
    <s v="030038958253121"/>
    <s v="030038958"/>
    <s v="GÜNEŞLİ GIDA CUMA BOZGÖZ"/>
    <s v="PLRC"/>
    <s v="PL Night KS RCB"/>
    <x v="0"/>
    <n v="5"/>
    <s v="VADE"/>
    <s v="06.11.2025 10:45:00"/>
    <s v="07.11.2025 00:00:00"/>
    <n v="41"/>
  </r>
  <r>
    <s v="D3JDR13"/>
    <x v="7"/>
    <s v="030038958253121"/>
    <s v="030038958"/>
    <s v="GÜNEŞLİ GIDA CUMA BOZGÖZ"/>
    <s v="MLEDSLIMS"/>
    <s v="MLR Edge Slims 100 RCB"/>
    <x v="4"/>
    <n v="0"/>
    <s v="VADE"/>
    <s v="06.11.2025 10:45:00"/>
    <s v="07.11.2025 00:00:00"/>
    <n v="41"/>
  </r>
  <r>
    <s v="D3JDR13"/>
    <x v="7"/>
    <s v="030038958253121"/>
    <s v="030038958"/>
    <s v="GÜNEŞLİ GIDA CUMA BOZGÖZ"/>
    <s v="MUARCB"/>
    <s v="MUA Rosso KS RCB"/>
    <x v="1"/>
    <n v="0"/>
    <s v="VADE"/>
    <s v="06.11.2025 10:45:00"/>
    <s v="07.11.2025 00:00:00"/>
    <n v="41"/>
  </r>
  <r>
    <s v="D3JDR13"/>
    <x v="7"/>
    <s v="030038958253121"/>
    <s v="030038958"/>
    <s v="GÜNEŞLİ GIDA CUMA BOZGÖZ"/>
    <s v="PLLONGRCB"/>
    <s v="PL Night Blue Long RCB"/>
    <x v="3"/>
    <n v="0"/>
    <s v="VADE"/>
    <s v="06.11.2025 10:45:00"/>
    <s v="07.11.2025 00:00:00"/>
    <n v="41"/>
  </r>
  <r>
    <s v="D3JDR13"/>
    <x v="7"/>
    <s v="030038958253121"/>
    <s v="030038958"/>
    <s v="GÜNEŞLİ GIDA CUMA BOZGÖZ"/>
    <s v="MLEDBLUE"/>
    <s v="MLR Edge Blue KS RCB"/>
    <x v="0"/>
    <n v="1"/>
    <s v="VADE"/>
    <s v="06.11.2025 10:45:00"/>
    <s v="07.11.2025 00:00:00"/>
    <n v="41"/>
  </r>
  <r>
    <s v="D3JDR13"/>
    <x v="7"/>
    <s v="D3J006048253121"/>
    <s v="D3J006048"/>
    <s v="ÖMER DOLAN"/>
    <s v="MLFTB"/>
    <s v="MLR Touch KS Box"/>
    <x v="1"/>
    <n v="0"/>
    <s v="HAVALE"/>
    <s v="06.11.2025 10:27:00"/>
    <s v="07.11.2025 00:00:00"/>
    <n v="38"/>
  </r>
  <r>
    <s v="D3JDR13"/>
    <x v="7"/>
    <s v="D3J006048253121"/>
    <s v="D3J006048"/>
    <s v="ÖMER DOLAN"/>
    <s v="MLR100"/>
    <s v="MLR 100"/>
    <x v="0"/>
    <n v="3"/>
    <s v="HAVALE"/>
    <s v="06.11.2025 10:27:00"/>
    <s v="07.11.2025 00:00:00"/>
    <n v="38"/>
  </r>
  <r>
    <s v="D3JDR13"/>
    <x v="7"/>
    <s v="D3J006048253121"/>
    <s v="D3J006048"/>
    <s v="ÖMER DOLAN"/>
    <s v="MLEDGE"/>
    <s v="MLR Edge KS RCB"/>
    <x v="0"/>
    <n v="7"/>
    <s v="HAVALE"/>
    <s v="06.11.2025 10:27:00"/>
    <s v="07.11.2025 00:00:00"/>
    <n v="38"/>
  </r>
  <r>
    <s v="D3JDR13"/>
    <x v="7"/>
    <s v="D3J006048253121"/>
    <s v="D3J006048"/>
    <s v="ÖMER DOLAN"/>
    <s v="PLRSVRCB"/>
    <s v="PL Reserve KS RCB"/>
    <x v="1"/>
    <n v="0"/>
    <s v="HAVALE"/>
    <s v="06.11.2025 10:27:00"/>
    <s v="07.11.2025 00:00:00"/>
    <n v="38"/>
  </r>
  <r>
    <s v="D3JDR13"/>
    <x v="7"/>
    <s v="D3J006048253121"/>
    <s v="D3J006048"/>
    <s v="ÖMER DOLAN"/>
    <s v="LAB100RCB"/>
    <s v="LARK Blue 100 RCB"/>
    <x v="0"/>
    <n v="1"/>
    <s v="HAVALE"/>
    <s v="06.11.2025 10:27:00"/>
    <s v="07.11.2025 00:00:00"/>
    <n v="38"/>
  </r>
  <r>
    <s v="D3JDR13"/>
    <x v="7"/>
    <s v="D3J006048253121"/>
    <s v="D3J006048"/>
    <s v="ÖMER DOLAN"/>
    <s v="MLTBLUE"/>
    <s v="MLR Touch Blue"/>
    <x v="0"/>
    <n v="20"/>
    <s v="HAVALE"/>
    <s v="06.11.2025 10:27:00"/>
    <s v="07.11.2025 00:00:00"/>
    <n v="38"/>
  </r>
  <r>
    <s v="D3JDR13"/>
    <x v="7"/>
    <s v="D3J006048253121"/>
    <s v="D3J006048"/>
    <s v="ÖMER DOLAN"/>
    <s v="PL100"/>
    <s v="PL Night 100"/>
    <x v="0"/>
    <n v="7"/>
    <s v="HAVALE"/>
    <s v="06.11.2025 10:27:00"/>
    <s v="07.11.2025 00:00:00"/>
    <n v="38"/>
  </r>
  <r>
    <s v="D3JDR13"/>
    <x v="7"/>
    <s v="D3J006048253121"/>
    <s v="D3J006048"/>
    <s v="ÖMER DOLAN"/>
    <s v="CHNAVYBRCB"/>
    <s v="CH NAVY BLUE RCB"/>
    <x v="0"/>
    <n v="1"/>
    <s v="HAVALE"/>
    <s v="06.11.2025 10:27:00"/>
    <s v="07.11.2025 00:00:00"/>
    <n v="38"/>
  </r>
  <r>
    <s v="D3JDR13"/>
    <x v="7"/>
    <s v="D3J006048253121"/>
    <s v="D3J006048"/>
    <s v="ÖMER DOLAN"/>
    <s v="LARKBRCB"/>
    <s v="LARK Blue Rec RCB"/>
    <x v="0"/>
    <n v="1"/>
    <s v="HAVALE"/>
    <s v="06.11.2025 10:27:00"/>
    <s v="07.11.2025 00:00:00"/>
    <n v="38"/>
  </r>
  <r>
    <s v="D3JDR13"/>
    <x v="7"/>
    <s v="D3J006048253121"/>
    <s v="D3J006048"/>
    <s v="ÖMER DOLAN"/>
    <s v="PLRC"/>
    <s v="PL Night KS RCB"/>
    <x v="0"/>
    <n v="7"/>
    <s v="HAVALE"/>
    <s v="06.11.2025 10:27:00"/>
    <s v="07.11.2025 00:00:00"/>
    <n v="38"/>
  </r>
  <r>
    <s v="D3JDR13"/>
    <x v="7"/>
    <s v="D3J006048253121"/>
    <s v="D3J006048"/>
    <s v="ÖMER DOLAN"/>
    <s v="MUARCB"/>
    <s v="MUA Rosso KS RCB"/>
    <x v="0"/>
    <n v="1"/>
    <s v="HAVALE"/>
    <s v="06.11.2025 10:27:00"/>
    <s v="07.11.2025 00:00:00"/>
    <n v="38"/>
  </r>
  <r>
    <s v="D3JDR13"/>
    <x v="7"/>
    <s v="D3J006048253121"/>
    <s v="D3J006048"/>
    <s v="ÖMER DOLAN"/>
    <s v="LM100RCB"/>
    <s v="L&amp;M Red 100 RCB"/>
    <x v="0"/>
    <n v="1"/>
    <s v="HAVALE"/>
    <s v="06.11.2025 10:27:00"/>
    <s v="07.11.2025 00:00:00"/>
    <n v="38"/>
  </r>
  <r>
    <s v="D3JDR07"/>
    <x v="4"/>
    <s v="D3J005392253121"/>
    <s v="D3J005392"/>
    <s v="CADDE BAKKAL-RAMAZAN BÜYÜKKOÇAK"/>
    <s v="PLMNRCB"/>
    <s v="PL Midnight Blue RCB"/>
    <x v="0"/>
    <n v="1"/>
    <s v="VADE"/>
    <s v="06.11.2025 09:37:00"/>
    <s v="07.11.2025 00:00:00"/>
    <n v="36"/>
  </r>
  <r>
    <s v="D3JDR07"/>
    <x v="4"/>
    <s v="D3J005392253121"/>
    <s v="D3J005392"/>
    <s v="CADDE BAKKAL-RAMAZAN BÜYÜKKOÇAK"/>
    <s v="MLEDGE"/>
    <s v="MLR Edge KS RCB"/>
    <x v="0"/>
    <n v="6"/>
    <s v="VADE"/>
    <s v="06.11.2025 09:37:00"/>
    <s v="07.11.2025 00:00:00"/>
    <n v="36"/>
  </r>
  <r>
    <s v="D3JDR07"/>
    <x v="4"/>
    <s v="D3J005392253121"/>
    <s v="D3J005392"/>
    <s v="CADDE BAKKAL-RAMAZAN BÜYÜKKOÇAK"/>
    <s v="MLTBLUE"/>
    <s v="MLR Touch Blue"/>
    <x v="0"/>
    <n v="4"/>
    <s v="VADE"/>
    <s v="06.11.2025 09:37:00"/>
    <s v="07.11.2025 00:00:00"/>
    <n v="36"/>
  </r>
  <r>
    <s v="D3JDR07"/>
    <x v="4"/>
    <s v="D3J005392253121"/>
    <s v="D3J005392"/>
    <s v="CADDE BAKKAL-RAMAZAN BÜYÜKKOÇAK"/>
    <s v="CHNB100RCB"/>
    <s v="CH NavyB 100 RCB"/>
    <x v="1"/>
    <n v="0"/>
    <s v="VADE"/>
    <s v="06.11.2025 09:37:00"/>
    <s v="07.11.2025 00:00:00"/>
    <n v="36"/>
  </r>
  <r>
    <s v="D3JDR07"/>
    <x v="4"/>
    <s v="D3J005392253121"/>
    <s v="D3J005392"/>
    <s v="CADDE BAKKAL-RAMAZAN BÜYÜKKOÇAK"/>
    <s v="PL100"/>
    <s v="PL Night 100"/>
    <x v="0"/>
    <n v="3"/>
    <s v="VADE"/>
    <s v="06.11.2025 09:37:00"/>
    <s v="07.11.2025 00:00:00"/>
    <n v="36"/>
  </r>
  <r>
    <s v="D3JDR07"/>
    <x v="4"/>
    <s v="D3J005392253121"/>
    <s v="D3J005392"/>
    <s v="CADDE BAKKAL-RAMAZAN BÜYÜKKOÇAK"/>
    <s v="CHNAVYBRCB"/>
    <s v="CH NAVY BLUE RCB"/>
    <x v="1"/>
    <n v="0"/>
    <s v="VADE"/>
    <s v="06.11.2025 09:37:00"/>
    <s v="07.11.2025 00:00:00"/>
    <n v="36"/>
  </r>
  <r>
    <s v="D3JDR07"/>
    <x v="4"/>
    <s v="D3J005392253121"/>
    <s v="D3J005392"/>
    <s v="CADDE BAKKAL-RAMAZAN BÜYÜKKOÇAK"/>
    <s v="LARKBRCB"/>
    <s v="LARK Blue Rec RCB"/>
    <x v="0"/>
    <n v="1"/>
    <s v="VADE"/>
    <s v="06.11.2025 09:37:00"/>
    <s v="07.11.2025 00:00:00"/>
    <n v="36"/>
  </r>
  <r>
    <s v="D3JDR07"/>
    <x v="4"/>
    <s v="D3J005392253121"/>
    <s v="D3J005392"/>
    <s v="CADDE BAKKAL-RAMAZAN BÜYÜKKOÇAK"/>
    <s v="PLRC"/>
    <s v="PL Night KS RCB"/>
    <x v="0"/>
    <n v="7"/>
    <s v="VADE"/>
    <s v="06.11.2025 09:37:00"/>
    <s v="07.11.2025 00:00:00"/>
    <n v="36"/>
  </r>
  <r>
    <s v="D3JDR07"/>
    <x v="4"/>
    <s v="D3J005392253121"/>
    <s v="D3J005392"/>
    <s v="CADDE BAKKAL-RAMAZAN BÜYÜKKOÇAK"/>
    <s v="PLLONGRCB"/>
    <s v="PL Night Blue Long RCB"/>
    <x v="3"/>
    <n v="0"/>
    <s v="VADE"/>
    <s v="06.11.2025 09:37:00"/>
    <s v="07.11.2025 00:00:00"/>
    <n v="36"/>
  </r>
  <r>
    <s v="D3JDR07"/>
    <x v="4"/>
    <s v="D3J143348253121"/>
    <s v="D3J143348"/>
    <s v="KARAHAN BÜFE ÖMER KARAHAN"/>
    <s v="MLR100"/>
    <s v="MLR 100"/>
    <x v="1"/>
    <n v="0"/>
    <s v="CASH"/>
    <s v="06.11.2025 09:15:00"/>
    <s v="07.11.2025 00:00:00"/>
    <n v="31"/>
  </r>
  <r>
    <s v="D3JDR07"/>
    <x v="4"/>
    <s v="D3J143348253121"/>
    <s v="D3J143348"/>
    <s v="KARAHAN BÜFE ÖMER KARAHAN"/>
    <s v="MLEDGE"/>
    <s v="MLR Edge KS RCB"/>
    <x v="0"/>
    <n v="1"/>
    <s v="CASH"/>
    <s v="06.11.2025 09:15:00"/>
    <s v="07.11.2025 00:00:00"/>
    <n v="31"/>
  </r>
  <r>
    <s v="D3JDR07"/>
    <x v="4"/>
    <s v="D3J143348253121"/>
    <s v="D3J143348"/>
    <s v="KARAHAN BÜFE ÖMER KARAHAN"/>
    <s v="MLTBLUE"/>
    <s v="MLR Touch Blue"/>
    <x v="0"/>
    <n v="1"/>
    <s v="CASH"/>
    <s v="06.11.2025 09:15:00"/>
    <s v="07.11.2025 00:00:00"/>
    <n v="31"/>
  </r>
  <r>
    <s v="D3JDR07"/>
    <x v="4"/>
    <s v="D3J143348253121"/>
    <s v="D3J143348"/>
    <s v="KARAHAN BÜFE ÖMER KARAHAN"/>
    <s v="PL100"/>
    <s v="PL Night 100"/>
    <x v="0"/>
    <n v="1"/>
    <s v="CASH"/>
    <s v="06.11.2025 09:15:00"/>
    <s v="07.11.2025 00:00:00"/>
    <n v="31"/>
  </r>
  <r>
    <s v="D3JDR07"/>
    <x v="4"/>
    <s v="D3J143348253121"/>
    <s v="D3J143348"/>
    <s v="KARAHAN BÜFE ÖMER KARAHAN"/>
    <s v="MFTB"/>
    <s v="MLR KS Box"/>
    <x v="0"/>
    <n v="1"/>
    <s v="CASH"/>
    <s v="06.11.2025 09:15:00"/>
    <s v="07.11.2025 00:00:00"/>
    <n v="31"/>
  </r>
  <r>
    <s v="D3JDR07"/>
    <x v="4"/>
    <s v="D3J143348253121"/>
    <s v="D3J143348"/>
    <s v="KARAHAN BÜFE ÖMER KARAHAN"/>
    <s v="PLRC"/>
    <s v="PL Night KS RCB"/>
    <x v="0"/>
    <n v="1"/>
    <s v="CASH"/>
    <s v="06.11.2025 09:15:00"/>
    <s v="07.11.2025 00:00:00"/>
    <n v="31"/>
  </r>
  <r>
    <s v="D3JDR07"/>
    <x v="4"/>
    <s v="D3J143348253121"/>
    <s v="D3J143348"/>
    <s v="KARAHAN BÜFE ÖMER KARAHAN"/>
    <s v="MLEDSLIMS"/>
    <s v="MLR Edge Slims 100 RCB"/>
    <x v="3"/>
    <n v="0"/>
    <s v="CASH"/>
    <s v="06.11.2025 09:15:00"/>
    <s v="07.11.2025 00:00:00"/>
    <n v="31"/>
  </r>
  <r>
    <s v="D3JDR07"/>
    <x v="4"/>
    <s v="D3J001563253121"/>
    <s v="D3J001563"/>
    <s v="ARPİN NAK. GIDA MAD. KUN.İMALT.SAN. TİC. LTD.ŞTİ."/>
    <s v="PLMNRCB"/>
    <s v="PL Midnight Blue RCB"/>
    <x v="0"/>
    <n v="2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MLEDGE"/>
    <s v="MLR Edge KS RCB"/>
    <x v="0"/>
    <n v="2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MLTBLUE"/>
    <s v="MLR Touch Blue"/>
    <x v="0"/>
    <n v="1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PLABS100"/>
    <s v="PL Aqua B.Slims 100 RCB"/>
    <x v="1"/>
    <n v="0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MLTGRAY"/>
    <s v="MLR Touch Gray"/>
    <x v="2"/>
    <n v="0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CHNAVYBRCB"/>
    <s v="CH NAVY BLUE RCB"/>
    <x v="1"/>
    <n v="0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LARKBRCB"/>
    <s v="LARK Blue Rec RCB"/>
    <x v="0"/>
    <n v="1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PLRC"/>
    <s v="PL Night KS RCB"/>
    <x v="0"/>
    <n v="2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MLEDSLIMS"/>
    <s v="MLR Edge Slims 100 RCB"/>
    <x v="4"/>
    <n v="0"/>
    <s v="CASH"/>
    <s v="06.11.2025 09:02:00"/>
    <s v="07.11.2025 00:00:00"/>
    <n v="25"/>
  </r>
  <r>
    <s v="D3JDR07"/>
    <x v="4"/>
    <s v="D3J001563253121"/>
    <s v="D3J001563"/>
    <s v="ARPİN NAK. GIDA MAD. KUN.İMALT.SAN. TİC. LTD.ŞTİ."/>
    <s v="MLEDBLUE"/>
    <s v="MLR Edge Blue KS RCB"/>
    <x v="1"/>
    <n v="0"/>
    <s v="CASH"/>
    <s v="06.11.2025 09:02:00"/>
    <s v="07.11.2025 00:00:00"/>
    <n v="25"/>
  </r>
  <r>
    <s v="D3JDR07"/>
    <x v="4"/>
    <s v="D3J005897253121"/>
    <s v="D3J005897"/>
    <s v="NUR BAKKAL-BAHRİ DEMİR"/>
    <s v="PLMNRCB"/>
    <s v="PL Midnight Blue RCB"/>
    <x v="0"/>
    <n v="2"/>
    <s v="VADE"/>
    <s v="06.11.2025 08:35:00"/>
    <s v="07.11.2025 00:00:00"/>
    <n v="24"/>
  </r>
  <r>
    <s v="D3JDR07"/>
    <x v="4"/>
    <s v="D3J005897253121"/>
    <s v="D3J005897"/>
    <s v="NUR BAKKAL-BAHRİ DEMİR"/>
    <s v="MLFTB"/>
    <s v="MLR Touch KS Box"/>
    <x v="0"/>
    <n v="2"/>
    <s v="VADE"/>
    <s v="06.11.2025 08:35:00"/>
    <s v="07.11.2025 00:00:00"/>
    <n v="24"/>
  </r>
  <r>
    <s v="D3JDR07"/>
    <x v="4"/>
    <s v="D3J005897253121"/>
    <s v="D3J005897"/>
    <s v="NUR BAKKAL-BAHRİ DEMİR"/>
    <s v="MLEDGE"/>
    <s v="MLR Edge KS RCB"/>
    <x v="0"/>
    <n v="8"/>
    <s v="VADE"/>
    <s v="06.11.2025 08:35:00"/>
    <s v="07.11.2025 00:00:00"/>
    <n v="24"/>
  </r>
  <r>
    <s v="D3JDR07"/>
    <x v="4"/>
    <s v="D3J005897253121"/>
    <s v="D3J005897"/>
    <s v="NUR BAKKAL-BAHRİ DEMİR"/>
    <s v="MLTBLUE"/>
    <s v="MLR Touch Blue"/>
    <x v="0"/>
    <n v="10"/>
    <s v="VADE"/>
    <s v="06.11.2025 08:35:00"/>
    <s v="07.11.2025 00:00:00"/>
    <n v="24"/>
  </r>
  <r>
    <s v="D3JDR07"/>
    <x v="4"/>
    <s v="D3J005897253121"/>
    <s v="D3J005897"/>
    <s v="NUR BAKKAL-BAHRİ DEMİR"/>
    <s v="CHNB100RCB"/>
    <s v="CH NavyB 100 RCB"/>
    <x v="0"/>
    <n v="1"/>
    <s v="VADE"/>
    <s v="06.11.2025 08:35:00"/>
    <s v="07.11.2025 00:00:00"/>
    <n v="24"/>
  </r>
  <r>
    <s v="D3JDR07"/>
    <x v="4"/>
    <s v="D3J005897253121"/>
    <s v="D3J005897"/>
    <s v="NUR BAKKAL-BAHRİ DEMİR"/>
    <s v="PL100"/>
    <s v="PL Night 100"/>
    <x v="0"/>
    <n v="8"/>
    <s v="VADE"/>
    <s v="06.11.2025 08:35:00"/>
    <s v="07.11.2025 00:00:00"/>
    <n v="24"/>
  </r>
  <r>
    <s v="D3JDR07"/>
    <x v="4"/>
    <s v="D3J005897253121"/>
    <s v="D3J005897"/>
    <s v="NUR BAKKAL-BAHRİ DEMİR"/>
    <s v="MFTB"/>
    <s v="MLR KS Box"/>
    <x v="0"/>
    <n v="2"/>
    <s v="VADE"/>
    <s v="06.11.2025 08:35:00"/>
    <s v="07.11.2025 00:00:00"/>
    <n v="24"/>
  </r>
  <r>
    <s v="D3JDR07"/>
    <x v="4"/>
    <s v="D3J005897253121"/>
    <s v="D3J005897"/>
    <s v="NUR BAKKAL-BAHRİ DEMİR"/>
    <s v="CHNAVYBRCB"/>
    <s v="CH NAVY BLUE RCB"/>
    <x v="0"/>
    <n v="1"/>
    <s v="VADE"/>
    <s v="06.11.2025 08:35:00"/>
    <s v="07.11.2025 00:00:00"/>
    <n v="24"/>
  </r>
  <r>
    <s v="D3JDR07"/>
    <x v="4"/>
    <s v="D3J005897253121"/>
    <s v="D3J005897"/>
    <s v="NUR BAKKAL-BAHRİ DEMİR"/>
    <s v="PLRC"/>
    <s v="PL Night KS RCB"/>
    <x v="0"/>
    <n v="15"/>
    <s v="VADE"/>
    <s v="06.11.2025 08:35:00"/>
    <s v="07.11.2025 00:00:00"/>
    <n v="24"/>
  </r>
  <r>
    <s v="D3JDR07"/>
    <x v="4"/>
    <s v="D3J005897253121"/>
    <s v="D3J005897"/>
    <s v="NUR BAKKAL-BAHRİ DEMİR"/>
    <s v="MUARCB"/>
    <s v="MUA Rosso KS RCB"/>
    <x v="0"/>
    <n v="2"/>
    <s v="VADE"/>
    <s v="06.11.2025 08:35:00"/>
    <s v="07.11.2025 00:00:00"/>
    <n v="24"/>
  </r>
  <r>
    <s v="D3JDR07"/>
    <x v="4"/>
    <s v="D3J005897253121"/>
    <s v="D3J005897"/>
    <s v="NUR BAKKAL-BAHRİ DEMİR"/>
    <s v="MLEDBLUE"/>
    <s v="MLR Edge Blue KS RCB"/>
    <x v="0"/>
    <n v="1"/>
    <s v="VADE"/>
    <s v="06.11.2025 08:35:00"/>
    <s v="07.11.2025 00:00:0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45462-CE21-4B95-A778-B20BBA65C9C9}" name="PivotTable1" cacheId="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C4:AE19" firstHeaderRow="0" firstDataRow="1" firstDataCol="1"/>
  <pivotFields count="13">
    <pivotField showAll="0"/>
    <pivotField axis="axisRow" showAll="0">
      <items count="15">
        <item x="1"/>
        <item x="13"/>
        <item x="12"/>
        <item x="0"/>
        <item x="3"/>
        <item x="4"/>
        <item x="5"/>
        <item x="6"/>
        <item x="7"/>
        <item x="8"/>
        <item x="10"/>
        <item x="11"/>
        <item x="9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9">
        <item x="0"/>
        <item x="2"/>
        <item x="7"/>
        <item x="4"/>
        <item x="1"/>
        <item x="3"/>
        <item x="5"/>
        <item x="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Paket" fld="7" baseField="0" baseItem="0"/>
    <dataField name="Toplam Karto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3"/>
  <sheetViews>
    <sheetView tabSelected="1" workbookViewId="0">
      <selection activeCell="K12" sqref="K2:K12"/>
    </sheetView>
  </sheetViews>
  <sheetFormatPr defaultRowHeight="15" x14ac:dyDescent="0.25"/>
  <cols>
    <col min="3" max="3" width="20.140625" customWidth="1"/>
    <col min="4" max="4" width="13.28515625" customWidth="1"/>
    <col min="5" max="5" width="2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 t="s">
        <v>89</v>
      </c>
      <c r="B2" s="5" t="s">
        <v>90</v>
      </c>
      <c r="C2" s="5" t="s">
        <v>370</v>
      </c>
      <c r="D2" s="5" t="s">
        <v>371</v>
      </c>
      <c r="E2" s="5" t="s">
        <v>372</v>
      </c>
      <c r="F2" s="5" t="s">
        <v>18</v>
      </c>
      <c r="G2" s="5" t="s">
        <v>19</v>
      </c>
      <c r="H2" s="5">
        <v>0</v>
      </c>
      <c r="I2" s="5">
        <v>2</v>
      </c>
      <c r="J2" s="5" t="s">
        <v>20</v>
      </c>
      <c r="K2" s="5" t="s">
        <v>294</v>
      </c>
      <c r="L2" s="5" t="s">
        <v>22</v>
      </c>
      <c r="M2" s="5">
        <v>24</v>
      </c>
    </row>
    <row r="3" spans="1:13" x14ac:dyDescent="0.25">
      <c r="A3" s="5" t="s">
        <v>89</v>
      </c>
      <c r="B3" s="5" t="s">
        <v>90</v>
      </c>
      <c r="C3" s="5" t="s">
        <v>370</v>
      </c>
      <c r="D3" s="5" t="s">
        <v>371</v>
      </c>
      <c r="E3" s="5" t="s">
        <v>372</v>
      </c>
      <c r="F3" s="5" t="s">
        <v>79</v>
      </c>
      <c r="G3" s="5" t="s">
        <v>80</v>
      </c>
      <c r="H3" s="5">
        <v>0</v>
      </c>
      <c r="I3" s="5">
        <v>2</v>
      </c>
      <c r="J3" s="5" t="s">
        <v>20</v>
      </c>
      <c r="K3" s="5" t="s">
        <v>294</v>
      </c>
      <c r="L3" s="5" t="s">
        <v>22</v>
      </c>
      <c r="M3" s="5">
        <v>24</v>
      </c>
    </row>
    <row r="4" spans="1:13" x14ac:dyDescent="0.25">
      <c r="A4" s="5" t="s">
        <v>89</v>
      </c>
      <c r="B4" s="5" t="s">
        <v>90</v>
      </c>
      <c r="C4" s="5" t="s">
        <v>370</v>
      </c>
      <c r="D4" s="5" t="s">
        <v>371</v>
      </c>
      <c r="E4" s="5" t="s">
        <v>372</v>
      </c>
      <c r="F4" s="5" t="s">
        <v>45</v>
      </c>
      <c r="G4" s="5" t="s">
        <v>46</v>
      </c>
      <c r="H4" s="5">
        <v>0</v>
      </c>
      <c r="I4" s="5">
        <v>8</v>
      </c>
      <c r="J4" s="5" t="s">
        <v>20</v>
      </c>
      <c r="K4" s="5" t="s">
        <v>294</v>
      </c>
      <c r="L4" s="5" t="s">
        <v>22</v>
      </c>
      <c r="M4" s="5">
        <v>24</v>
      </c>
    </row>
    <row r="5" spans="1:13" x14ac:dyDescent="0.25">
      <c r="A5" s="5" t="s">
        <v>89</v>
      </c>
      <c r="B5" s="5" t="s">
        <v>90</v>
      </c>
      <c r="C5" s="5" t="s">
        <v>370</v>
      </c>
      <c r="D5" s="5" t="s">
        <v>371</v>
      </c>
      <c r="E5" s="5" t="s">
        <v>372</v>
      </c>
      <c r="F5" s="5" t="s">
        <v>51</v>
      </c>
      <c r="G5" s="5" t="s">
        <v>52</v>
      </c>
      <c r="H5" s="5">
        <v>0</v>
      </c>
      <c r="I5" s="5">
        <v>15</v>
      </c>
      <c r="J5" s="5" t="s">
        <v>20</v>
      </c>
      <c r="K5" s="5" t="s">
        <v>294</v>
      </c>
      <c r="L5" s="5" t="s">
        <v>22</v>
      </c>
      <c r="M5" s="5">
        <v>24</v>
      </c>
    </row>
    <row r="6" spans="1:13" x14ac:dyDescent="0.25">
      <c r="A6" s="5" t="s">
        <v>89</v>
      </c>
      <c r="B6" s="5" t="s">
        <v>90</v>
      </c>
      <c r="C6" s="5" t="s">
        <v>370</v>
      </c>
      <c r="D6" s="5" t="s">
        <v>371</v>
      </c>
      <c r="E6" s="5" t="s">
        <v>372</v>
      </c>
      <c r="F6" s="5" t="s">
        <v>55</v>
      </c>
      <c r="G6" s="5" t="s">
        <v>56</v>
      </c>
      <c r="H6" s="5">
        <v>0</v>
      </c>
      <c r="I6" s="5">
        <v>1</v>
      </c>
      <c r="J6" s="5" t="s">
        <v>20</v>
      </c>
      <c r="K6" s="5" t="s">
        <v>294</v>
      </c>
      <c r="L6" s="5" t="s">
        <v>22</v>
      </c>
      <c r="M6" s="5">
        <v>24</v>
      </c>
    </row>
    <row r="7" spans="1:13" x14ac:dyDescent="0.25">
      <c r="A7" s="5" t="s">
        <v>89</v>
      </c>
      <c r="B7" s="5" t="s">
        <v>90</v>
      </c>
      <c r="C7" s="5" t="s">
        <v>370</v>
      </c>
      <c r="D7" s="5" t="s">
        <v>371</v>
      </c>
      <c r="E7" s="5" t="s">
        <v>372</v>
      </c>
      <c r="F7" s="5" t="s">
        <v>59</v>
      </c>
      <c r="G7" s="5" t="s">
        <v>60</v>
      </c>
      <c r="H7" s="5">
        <v>0</v>
      </c>
      <c r="I7" s="5">
        <v>8</v>
      </c>
      <c r="J7" s="5" t="s">
        <v>20</v>
      </c>
      <c r="K7" s="5" t="s">
        <v>294</v>
      </c>
      <c r="L7" s="5" t="s">
        <v>22</v>
      </c>
      <c r="M7" s="5">
        <v>24</v>
      </c>
    </row>
    <row r="8" spans="1:13" x14ac:dyDescent="0.25">
      <c r="A8" s="5" t="s">
        <v>89</v>
      </c>
      <c r="B8" s="5" t="s">
        <v>90</v>
      </c>
      <c r="C8" s="5" t="s">
        <v>370</v>
      </c>
      <c r="D8" s="5" t="s">
        <v>371</v>
      </c>
      <c r="E8" s="5" t="s">
        <v>372</v>
      </c>
      <c r="F8" s="5" t="s">
        <v>61</v>
      </c>
      <c r="G8" s="5" t="s">
        <v>62</v>
      </c>
      <c r="H8" s="5">
        <v>0</v>
      </c>
      <c r="I8" s="5">
        <v>2</v>
      </c>
      <c r="J8" s="5" t="s">
        <v>20</v>
      </c>
      <c r="K8" s="5" t="s">
        <v>294</v>
      </c>
      <c r="L8" s="5" t="s">
        <v>22</v>
      </c>
      <c r="M8" s="5">
        <v>24</v>
      </c>
    </row>
    <row r="9" spans="1:13" x14ac:dyDescent="0.25">
      <c r="A9" s="5" t="s">
        <v>89</v>
      </c>
      <c r="B9" s="5" t="s">
        <v>90</v>
      </c>
      <c r="C9" s="5" t="s">
        <v>370</v>
      </c>
      <c r="D9" s="5" t="s">
        <v>371</v>
      </c>
      <c r="E9" s="5" t="s">
        <v>372</v>
      </c>
      <c r="F9" s="5" t="s">
        <v>25</v>
      </c>
      <c r="G9" s="5" t="s">
        <v>26</v>
      </c>
      <c r="H9" s="5">
        <v>0</v>
      </c>
      <c r="I9" s="5">
        <v>1</v>
      </c>
      <c r="J9" s="5" t="s">
        <v>20</v>
      </c>
      <c r="K9" s="5" t="s">
        <v>294</v>
      </c>
      <c r="L9" s="5" t="s">
        <v>22</v>
      </c>
      <c r="M9" s="5">
        <v>24</v>
      </c>
    </row>
    <row r="10" spans="1:13" x14ac:dyDescent="0.25">
      <c r="A10" s="5" t="s">
        <v>89</v>
      </c>
      <c r="B10" s="5" t="s">
        <v>90</v>
      </c>
      <c r="C10" s="5" t="s">
        <v>370</v>
      </c>
      <c r="D10" s="5" t="s">
        <v>371</v>
      </c>
      <c r="E10" s="5" t="s">
        <v>372</v>
      </c>
      <c r="F10" s="5" t="s">
        <v>65</v>
      </c>
      <c r="G10" s="5" t="s">
        <v>66</v>
      </c>
      <c r="H10" s="5">
        <v>0</v>
      </c>
      <c r="I10" s="5">
        <v>20</v>
      </c>
      <c r="J10" s="5" t="s">
        <v>20</v>
      </c>
      <c r="K10" s="5" t="s">
        <v>294</v>
      </c>
      <c r="L10" s="5" t="s">
        <v>22</v>
      </c>
      <c r="M10" s="5">
        <v>24</v>
      </c>
    </row>
    <row r="11" spans="1:13" x14ac:dyDescent="0.25">
      <c r="A11" s="5" t="s">
        <v>89</v>
      </c>
      <c r="B11" s="5" t="s">
        <v>90</v>
      </c>
      <c r="C11" s="5" t="s">
        <v>370</v>
      </c>
      <c r="D11" s="5" t="s">
        <v>371</v>
      </c>
      <c r="E11" s="5" t="s">
        <v>372</v>
      </c>
      <c r="F11" s="5" t="s">
        <v>29</v>
      </c>
      <c r="G11" s="5" t="s">
        <v>30</v>
      </c>
      <c r="H11" s="5">
        <v>5</v>
      </c>
      <c r="I11" s="5">
        <v>2</v>
      </c>
      <c r="J11" s="5" t="s">
        <v>20</v>
      </c>
      <c r="K11" s="5" t="s">
        <v>294</v>
      </c>
      <c r="L11" s="5" t="s">
        <v>22</v>
      </c>
      <c r="M11" s="5">
        <v>24</v>
      </c>
    </row>
    <row r="12" spans="1:13" x14ac:dyDescent="0.25">
      <c r="A12" s="5" t="s">
        <v>89</v>
      </c>
      <c r="B12" s="5" t="s">
        <v>90</v>
      </c>
      <c r="C12" s="5" t="s">
        <v>370</v>
      </c>
      <c r="D12" s="5" t="s">
        <v>371</v>
      </c>
      <c r="E12" s="5" t="s">
        <v>372</v>
      </c>
      <c r="F12" s="5" t="s">
        <v>71</v>
      </c>
      <c r="G12" s="5" t="s">
        <v>72</v>
      </c>
      <c r="H12" s="5">
        <v>0</v>
      </c>
      <c r="I12" s="5">
        <v>1</v>
      </c>
      <c r="J12" s="5" t="s">
        <v>20</v>
      </c>
      <c r="K12" s="5" t="s">
        <v>294</v>
      </c>
      <c r="L12" s="5" t="s">
        <v>22</v>
      </c>
      <c r="M12" s="5">
        <v>24</v>
      </c>
    </row>
    <row r="13" spans="1:13" x14ac:dyDescent="0.25">
      <c r="A13" t="s">
        <v>103</v>
      </c>
      <c r="B13" t="s">
        <v>104</v>
      </c>
      <c r="C13" t="s">
        <v>291</v>
      </c>
      <c r="D13" t="s">
        <v>292</v>
      </c>
      <c r="E13" t="s">
        <v>293</v>
      </c>
      <c r="F13" t="s">
        <v>39</v>
      </c>
      <c r="G13" t="s">
        <v>40</v>
      </c>
      <c r="H13">
        <v>0</v>
      </c>
      <c r="I13">
        <v>1</v>
      </c>
      <c r="J13" t="s">
        <v>101</v>
      </c>
      <c r="K13" t="s">
        <v>294</v>
      </c>
      <c r="L13" t="s">
        <v>22</v>
      </c>
      <c r="M13">
        <v>23</v>
      </c>
    </row>
    <row r="14" spans="1:13" x14ac:dyDescent="0.25">
      <c r="A14" t="s">
        <v>103</v>
      </c>
      <c r="B14" t="s">
        <v>104</v>
      </c>
      <c r="C14" t="s">
        <v>291</v>
      </c>
      <c r="D14" t="s">
        <v>292</v>
      </c>
      <c r="E14" t="s">
        <v>293</v>
      </c>
      <c r="F14" t="s">
        <v>45</v>
      </c>
      <c r="G14" t="s">
        <v>46</v>
      </c>
      <c r="H14">
        <v>0</v>
      </c>
      <c r="I14">
        <v>1</v>
      </c>
      <c r="J14" t="s">
        <v>101</v>
      </c>
      <c r="K14" t="s">
        <v>294</v>
      </c>
      <c r="L14" t="s">
        <v>22</v>
      </c>
      <c r="M14">
        <v>23</v>
      </c>
    </row>
    <row r="15" spans="1:13" x14ac:dyDescent="0.25">
      <c r="A15" t="s">
        <v>103</v>
      </c>
      <c r="B15" t="s">
        <v>104</v>
      </c>
      <c r="C15" t="s">
        <v>291</v>
      </c>
      <c r="D15" t="s">
        <v>292</v>
      </c>
      <c r="E15" t="s">
        <v>293</v>
      </c>
      <c r="F15" t="s">
        <v>49</v>
      </c>
      <c r="G15" t="s">
        <v>50</v>
      </c>
      <c r="H15">
        <v>0</v>
      </c>
      <c r="I15">
        <v>1</v>
      </c>
      <c r="J15" t="s">
        <v>101</v>
      </c>
      <c r="K15" t="s">
        <v>294</v>
      </c>
      <c r="L15" t="s">
        <v>22</v>
      </c>
      <c r="M15">
        <v>23</v>
      </c>
    </row>
    <row r="16" spans="1:13" x14ac:dyDescent="0.25">
      <c r="A16" t="s">
        <v>103</v>
      </c>
      <c r="B16" t="s">
        <v>104</v>
      </c>
      <c r="C16" t="s">
        <v>291</v>
      </c>
      <c r="D16" t="s">
        <v>292</v>
      </c>
      <c r="E16" t="s">
        <v>293</v>
      </c>
      <c r="F16" t="s">
        <v>23</v>
      </c>
      <c r="G16" t="s">
        <v>24</v>
      </c>
      <c r="H16">
        <v>5</v>
      </c>
      <c r="I16">
        <v>0</v>
      </c>
      <c r="J16" t="s">
        <v>101</v>
      </c>
      <c r="K16" t="s">
        <v>294</v>
      </c>
      <c r="L16" t="s">
        <v>22</v>
      </c>
      <c r="M16">
        <v>23</v>
      </c>
    </row>
    <row r="17" spans="1:13" x14ac:dyDescent="0.25">
      <c r="A17" t="s">
        <v>103</v>
      </c>
      <c r="B17" t="s">
        <v>104</v>
      </c>
      <c r="C17" t="s">
        <v>291</v>
      </c>
      <c r="D17" t="s">
        <v>292</v>
      </c>
      <c r="E17" t="s">
        <v>293</v>
      </c>
      <c r="F17" t="s">
        <v>55</v>
      </c>
      <c r="G17" t="s">
        <v>56</v>
      </c>
      <c r="H17">
        <v>0</v>
      </c>
      <c r="I17">
        <v>1</v>
      </c>
      <c r="J17" t="s">
        <v>101</v>
      </c>
      <c r="K17" t="s">
        <v>294</v>
      </c>
      <c r="L17" t="s">
        <v>22</v>
      </c>
      <c r="M17">
        <v>23</v>
      </c>
    </row>
    <row r="18" spans="1:13" x14ac:dyDescent="0.25">
      <c r="A18" t="s">
        <v>103</v>
      </c>
      <c r="B18" t="s">
        <v>104</v>
      </c>
      <c r="C18" t="s">
        <v>291</v>
      </c>
      <c r="D18" t="s">
        <v>292</v>
      </c>
      <c r="E18" t="s">
        <v>293</v>
      </c>
      <c r="F18" t="s">
        <v>59</v>
      </c>
      <c r="G18" t="s">
        <v>60</v>
      </c>
      <c r="H18">
        <v>0</v>
      </c>
      <c r="I18">
        <v>1</v>
      </c>
      <c r="J18" t="s">
        <v>101</v>
      </c>
      <c r="K18" t="s">
        <v>294</v>
      </c>
      <c r="L18" t="s">
        <v>22</v>
      </c>
      <c r="M18">
        <v>23</v>
      </c>
    </row>
    <row r="19" spans="1:13" x14ac:dyDescent="0.25">
      <c r="A19" t="s">
        <v>103</v>
      </c>
      <c r="B19" t="s">
        <v>104</v>
      </c>
      <c r="C19" t="s">
        <v>291</v>
      </c>
      <c r="D19" t="s">
        <v>292</v>
      </c>
      <c r="E19" t="s">
        <v>293</v>
      </c>
      <c r="F19" t="s">
        <v>61</v>
      </c>
      <c r="G19" t="s">
        <v>62</v>
      </c>
      <c r="H19">
        <v>0</v>
      </c>
      <c r="I19">
        <v>1</v>
      </c>
      <c r="J19" t="s">
        <v>101</v>
      </c>
      <c r="K19" t="s">
        <v>294</v>
      </c>
      <c r="L19" t="s">
        <v>22</v>
      </c>
      <c r="M19">
        <v>23</v>
      </c>
    </row>
    <row r="20" spans="1:13" x14ac:dyDescent="0.25">
      <c r="A20" t="s">
        <v>103</v>
      </c>
      <c r="B20" t="s">
        <v>104</v>
      </c>
      <c r="C20" t="s">
        <v>291</v>
      </c>
      <c r="D20" t="s">
        <v>292</v>
      </c>
      <c r="E20" t="s">
        <v>293</v>
      </c>
      <c r="F20" t="s">
        <v>27</v>
      </c>
      <c r="G20" t="s">
        <v>28</v>
      </c>
      <c r="H20">
        <v>5</v>
      </c>
      <c r="I20">
        <v>0</v>
      </c>
      <c r="J20" t="s">
        <v>101</v>
      </c>
      <c r="K20" t="s">
        <v>294</v>
      </c>
      <c r="L20" t="s">
        <v>22</v>
      </c>
      <c r="M20">
        <v>23</v>
      </c>
    </row>
    <row r="21" spans="1:13" x14ac:dyDescent="0.25">
      <c r="A21" t="s">
        <v>103</v>
      </c>
      <c r="B21" t="s">
        <v>104</v>
      </c>
      <c r="C21" t="s">
        <v>291</v>
      </c>
      <c r="D21" t="s">
        <v>292</v>
      </c>
      <c r="E21" t="s">
        <v>293</v>
      </c>
      <c r="F21" t="s">
        <v>69</v>
      </c>
      <c r="G21" t="s">
        <v>70</v>
      </c>
      <c r="H21">
        <v>8</v>
      </c>
      <c r="I21">
        <v>0</v>
      </c>
      <c r="J21" t="s">
        <v>101</v>
      </c>
      <c r="K21" t="s">
        <v>294</v>
      </c>
      <c r="L21" t="s">
        <v>22</v>
      </c>
      <c r="M21">
        <v>23</v>
      </c>
    </row>
    <row r="22" spans="1:13" x14ac:dyDescent="0.25">
      <c r="A22" t="s">
        <v>103</v>
      </c>
      <c r="B22" t="s">
        <v>104</v>
      </c>
      <c r="C22" t="s">
        <v>291</v>
      </c>
      <c r="D22" t="s">
        <v>292</v>
      </c>
      <c r="E22" t="s">
        <v>293</v>
      </c>
      <c r="F22" t="s">
        <v>71</v>
      </c>
      <c r="G22" t="s">
        <v>72</v>
      </c>
      <c r="H22">
        <v>0</v>
      </c>
      <c r="I22">
        <v>1</v>
      </c>
      <c r="J22" t="s">
        <v>101</v>
      </c>
      <c r="K22" t="s">
        <v>294</v>
      </c>
      <c r="L22" t="s">
        <v>22</v>
      </c>
      <c r="M22">
        <v>23</v>
      </c>
    </row>
    <row r="23" spans="1:13" x14ac:dyDescent="0.25">
      <c r="A23" t="s">
        <v>13</v>
      </c>
      <c r="B23" t="s">
        <v>14</v>
      </c>
      <c r="C23" t="s">
        <v>287</v>
      </c>
      <c r="D23" t="s">
        <v>288</v>
      </c>
      <c r="E23" t="s">
        <v>289</v>
      </c>
      <c r="F23" t="s">
        <v>18</v>
      </c>
      <c r="G23" t="s">
        <v>19</v>
      </c>
      <c r="H23">
        <v>0</v>
      </c>
      <c r="I23">
        <v>1</v>
      </c>
      <c r="J23" t="s">
        <v>20</v>
      </c>
      <c r="K23" t="s">
        <v>290</v>
      </c>
      <c r="L23" t="s">
        <v>22</v>
      </c>
      <c r="M23">
        <v>46</v>
      </c>
    </row>
    <row r="24" spans="1:13" x14ac:dyDescent="0.25">
      <c r="A24" t="s">
        <v>13</v>
      </c>
      <c r="B24" t="s">
        <v>14</v>
      </c>
      <c r="C24" t="s">
        <v>287</v>
      </c>
      <c r="D24" t="s">
        <v>288</v>
      </c>
      <c r="E24" t="s">
        <v>289</v>
      </c>
      <c r="F24" t="s">
        <v>45</v>
      </c>
      <c r="G24" t="s">
        <v>46</v>
      </c>
      <c r="H24">
        <v>0</v>
      </c>
      <c r="I24">
        <v>5</v>
      </c>
      <c r="J24" t="s">
        <v>20</v>
      </c>
      <c r="K24" t="s">
        <v>290</v>
      </c>
      <c r="L24" t="s">
        <v>22</v>
      </c>
      <c r="M24">
        <v>46</v>
      </c>
    </row>
    <row r="25" spans="1:13" x14ac:dyDescent="0.25">
      <c r="A25" t="s">
        <v>13</v>
      </c>
      <c r="B25" t="s">
        <v>14</v>
      </c>
      <c r="C25" t="s">
        <v>287</v>
      </c>
      <c r="D25" t="s">
        <v>288</v>
      </c>
      <c r="E25" t="s">
        <v>289</v>
      </c>
      <c r="F25" t="s">
        <v>23</v>
      </c>
      <c r="G25" t="s">
        <v>24</v>
      </c>
      <c r="H25">
        <v>5</v>
      </c>
      <c r="I25">
        <v>1</v>
      </c>
      <c r="J25" t="s">
        <v>20</v>
      </c>
      <c r="K25" t="s">
        <v>290</v>
      </c>
      <c r="L25" t="s">
        <v>22</v>
      </c>
      <c r="M25">
        <v>46</v>
      </c>
    </row>
    <row r="26" spans="1:13" x14ac:dyDescent="0.25">
      <c r="A26" t="s">
        <v>13</v>
      </c>
      <c r="B26" t="s">
        <v>14</v>
      </c>
      <c r="C26" t="s">
        <v>287</v>
      </c>
      <c r="D26" t="s">
        <v>288</v>
      </c>
      <c r="E26" t="s">
        <v>289</v>
      </c>
      <c r="F26" t="s">
        <v>51</v>
      </c>
      <c r="G26" t="s">
        <v>52</v>
      </c>
      <c r="H26">
        <v>0</v>
      </c>
      <c r="I26">
        <v>3</v>
      </c>
      <c r="J26" t="s">
        <v>20</v>
      </c>
      <c r="K26" t="s">
        <v>290</v>
      </c>
      <c r="L26" t="s">
        <v>22</v>
      </c>
      <c r="M26">
        <v>46</v>
      </c>
    </row>
    <row r="27" spans="1:13" x14ac:dyDescent="0.25">
      <c r="A27" t="s">
        <v>13</v>
      </c>
      <c r="B27" t="s">
        <v>14</v>
      </c>
      <c r="C27" t="s">
        <v>287</v>
      </c>
      <c r="D27" t="s">
        <v>288</v>
      </c>
      <c r="E27" t="s">
        <v>289</v>
      </c>
      <c r="F27" t="s">
        <v>55</v>
      </c>
      <c r="G27" t="s">
        <v>56</v>
      </c>
      <c r="H27">
        <v>0</v>
      </c>
      <c r="I27">
        <v>1</v>
      </c>
      <c r="J27" t="s">
        <v>20</v>
      </c>
      <c r="K27" t="s">
        <v>290</v>
      </c>
      <c r="L27" t="s">
        <v>22</v>
      </c>
      <c r="M27">
        <v>46</v>
      </c>
    </row>
    <row r="28" spans="1:13" x14ac:dyDescent="0.25">
      <c r="A28" t="s">
        <v>13</v>
      </c>
      <c r="B28" t="s">
        <v>14</v>
      </c>
      <c r="C28" t="s">
        <v>287</v>
      </c>
      <c r="D28" t="s">
        <v>288</v>
      </c>
      <c r="E28" t="s">
        <v>289</v>
      </c>
      <c r="F28" t="s">
        <v>57</v>
      </c>
      <c r="G28" t="s">
        <v>58</v>
      </c>
      <c r="H28">
        <v>2</v>
      </c>
      <c r="I28">
        <v>0</v>
      </c>
      <c r="J28" t="s">
        <v>20</v>
      </c>
      <c r="K28" t="s">
        <v>290</v>
      </c>
      <c r="L28" t="s">
        <v>22</v>
      </c>
      <c r="M28">
        <v>46</v>
      </c>
    </row>
    <row r="29" spans="1:13" x14ac:dyDescent="0.25">
      <c r="A29" t="s">
        <v>13</v>
      </c>
      <c r="B29" t="s">
        <v>14</v>
      </c>
      <c r="C29" t="s">
        <v>287</v>
      </c>
      <c r="D29" t="s">
        <v>288</v>
      </c>
      <c r="E29" t="s">
        <v>289</v>
      </c>
      <c r="F29" t="s">
        <v>59</v>
      </c>
      <c r="G29" t="s">
        <v>60</v>
      </c>
      <c r="H29">
        <v>0</v>
      </c>
      <c r="I29">
        <v>1</v>
      </c>
      <c r="J29" t="s">
        <v>20</v>
      </c>
      <c r="K29" t="s">
        <v>290</v>
      </c>
      <c r="L29" t="s">
        <v>22</v>
      </c>
      <c r="M29">
        <v>46</v>
      </c>
    </row>
    <row r="30" spans="1:13" x14ac:dyDescent="0.25">
      <c r="A30" t="s">
        <v>13</v>
      </c>
      <c r="B30" t="s">
        <v>14</v>
      </c>
      <c r="C30" t="s">
        <v>287</v>
      </c>
      <c r="D30" t="s">
        <v>288</v>
      </c>
      <c r="E30" t="s">
        <v>289</v>
      </c>
      <c r="F30" t="s">
        <v>25</v>
      </c>
      <c r="G30" t="s">
        <v>26</v>
      </c>
      <c r="H30">
        <v>0</v>
      </c>
      <c r="I30">
        <v>1</v>
      </c>
      <c r="J30" t="s">
        <v>20</v>
      </c>
      <c r="K30" t="s">
        <v>290</v>
      </c>
      <c r="L30" t="s">
        <v>22</v>
      </c>
      <c r="M30">
        <v>46</v>
      </c>
    </row>
    <row r="31" spans="1:13" x14ac:dyDescent="0.25">
      <c r="A31" t="s">
        <v>13</v>
      </c>
      <c r="B31" t="s">
        <v>14</v>
      </c>
      <c r="C31" t="s">
        <v>287</v>
      </c>
      <c r="D31" t="s">
        <v>288</v>
      </c>
      <c r="E31" t="s">
        <v>289</v>
      </c>
      <c r="F31" t="s">
        <v>27</v>
      </c>
      <c r="G31" t="s">
        <v>28</v>
      </c>
      <c r="H31">
        <v>5</v>
      </c>
      <c r="I31">
        <v>0</v>
      </c>
      <c r="J31" t="s">
        <v>20</v>
      </c>
      <c r="K31" t="s">
        <v>290</v>
      </c>
      <c r="L31" t="s">
        <v>22</v>
      </c>
      <c r="M31">
        <v>46</v>
      </c>
    </row>
    <row r="32" spans="1:13" x14ac:dyDescent="0.25">
      <c r="A32" t="s">
        <v>13</v>
      </c>
      <c r="B32" t="s">
        <v>14</v>
      </c>
      <c r="C32" t="s">
        <v>287</v>
      </c>
      <c r="D32" t="s">
        <v>288</v>
      </c>
      <c r="E32" t="s">
        <v>289</v>
      </c>
      <c r="F32" t="s">
        <v>65</v>
      </c>
      <c r="G32" t="s">
        <v>66</v>
      </c>
      <c r="H32">
        <v>0</v>
      </c>
      <c r="I32">
        <v>4</v>
      </c>
      <c r="J32" t="s">
        <v>20</v>
      </c>
      <c r="K32" t="s">
        <v>290</v>
      </c>
      <c r="L32" t="s">
        <v>22</v>
      </c>
      <c r="M32">
        <v>46</v>
      </c>
    </row>
    <row r="33" spans="1:13" x14ac:dyDescent="0.25">
      <c r="A33" t="s">
        <v>13</v>
      </c>
      <c r="B33" t="s">
        <v>14</v>
      </c>
      <c r="C33" t="s">
        <v>287</v>
      </c>
      <c r="D33" t="s">
        <v>288</v>
      </c>
      <c r="E33" t="s">
        <v>289</v>
      </c>
      <c r="F33" t="s">
        <v>67</v>
      </c>
      <c r="G33" t="s">
        <v>68</v>
      </c>
      <c r="H33">
        <v>6</v>
      </c>
      <c r="I33">
        <v>0</v>
      </c>
      <c r="J33" t="s">
        <v>20</v>
      </c>
      <c r="K33" t="s">
        <v>290</v>
      </c>
      <c r="L33" t="s">
        <v>22</v>
      </c>
      <c r="M33">
        <v>46</v>
      </c>
    </row>
    <row r="34" spans="1:13" x14ac:dyDescent="0.25">
      <c r="A34" t="s">
        <v>13</v>
      </c>
      <c r="B34" t="s">
        <v>14</v>
      </c>
      <c r="C34" t="s">
        <v>287</v>
      </c>
      <c r="D34" t="s">
        <v>288</v>
      </c>
      <c r="E34" t="s">
        <v>289</v>
      </c>
      <c r="F34" t="s">
        <v>29</v>
      </c>
      <c r="G34" t="s">
        <v>30</v>
      </c>
      <c r="H34">
        <v>5</v>
      </c>
      <c r="I34">
        <v>0</v>
      </c>
      <c r="J34" t="s">
        <v>20</v>
      </c>
      <c r="K34" t="s">
        <v>290</v>
      </c>
      <c r="L34" t="s">
        <v>22</v>
      </c>
      <c r="M34">
        <v>46</v>
      </c>
    </row>
    <row r="35" spans="1:13" x14ac:dyDescent="0.25">
      <c r="A35" t="s">
        <v>13</v>
      </c>
      <c r="B35" t="s">
        <v>14</v>
      </c>
      <c r="C35" t="s">
        <v>287</v>
      </c>
      <c r="D35" t="s">
        <v>288</v>
      </c>
      <c r="E35" t="s">
        <v>289</v>
      </c>
      <c r="F35" t="s">
        <v>71</v>
      </c>
      <c r="G35" t="s">
        <v>72</v>
      </c>
      <c r="H35">
        <v>0</v>
      </c>
      <c r="I35">
        <v>1</v>
      </c>
      <c r="J35" t="s">
        <v>20</v>
      </c>
      <c r="K35" t="s">
        <v>290</v>
      </c>
      <c r="L35" t="s">
        <v>22</v>
      </c>
      <c r="M35">
        <v>46</v>
      </c>
    </row>
    <row r="36" spans="1:13" x14ac:dyDescent="0.25">
      <c r="A36" t="s">
        <v>120</v>
      </c>
      <c r="B36" t="s">
        <v>121</v>
      </c>
      <c r="C36" t="s">
        <v>283</v>
      </c>
      <c r="D36" t="s">
        <v>284</v>
      </c>
      <c r="E36" t="s">
        <v>285</v>
      </c>
      <c r="F36" t="s">
        <v>39</v>
      </c>
      <c r="G36" t="s">
        <v>40</v>
      </c>
      <c r="H36">
        <v>5</v>
      </c>
      <c r="I36">
        <v>0</v>
      </c>
      <c r="J36" t="s">
        <v>20</v>
      </c>
      <c r="K36" t="s">
        <v>286</v>
      </c>
      <c r="L36" t="s">
        <v>22</v>
      </c>
      <c r="M36">
        <v>42</v>
      </c>
    </row>
    <row r="37" spans="1:13" x14ac:dyDescent="0.25">
      <c r="A37" t="s">
        <v>120</v>
      </c>
      <c r="B37" t="s">
        <v>121</v>
      </c>
      <c r="C37" t="s">
        <v>283</v>
      </c>
      <c r="D37" t="s">
        <v>284</v>
      </c>
      <c r="E37" t="s">
        <v>285</v>
      </c>
      <c r="F37" t="s">
        <v>43</v>
      </c>
      <c r="G37" t="s">
        <v>44</v>
      </c>
      <c r="H37">
        <v>5</v>
      </c>
      <c r="I37">
        <v>0</v>
      </c>
      <c r="J37" t="s">
        <v>20</v>
      </c>
      <c r="K37" t="s">
        <v>286</v>
      </c>
      <c r="L37" t="s">
        <v>22</v>
      </c>
      <c r="M37">
        <v>42</v>
      </c>
    </row>
    <row r="38" spans="1:13" x14ac:dyDescent="0.25">
      <c r="A38" t="s">
        <v>120</v>
      </c>
      <c r="B38" t="s">
        <v>121</v>
      </c>
      <c r="C38" t="s">
        <v>283</v>
      </c>
      <c r="D38" t="s">
        <v>284</v>
      </c>
      <c r="E38" t="s">
        <v>285</v>
      </c>
      <c r="F38" t="s">
        <v>45</v>
      </c>
      <c r="G38" t="s">
        <v>46</v>
      </c>
      <c r="H38">
        <v>0</v>
      </c>
      <c r="I38">
        <v>4</v>
      </c>
      <c r="J38" t="s">
        <v>20</v>
      </c>
      <c r="K38" t="s">
        <v>286</v>
      </c>
      <c r="L38" t="s">
        <v>22</v>
      </c>
      <c r="M38">
        <v>42</v>
      </c>
    </row>
    <row r="39" spans="1:13" x14ac:dyDescent="0.25">
      <c r="A39" t="s">
        <v>120</v>
      </c>
      <c r="B39" t="s">
        <v>121</v>
      </c>
      <c r="C39" t="s">
        <v>283</v>
      </c>
      <c r="D39" t="s">
        <v>284</v>
      </c>
      <c r="E39" t="s">
        <v>285</v>
      </c>
      <c r="F39" t="s">
        <v>47</v>
      </c>
      <c r="G39" t="s">
        <v>48</v>
      </c>
      <c r="H39">
        <v>0</v>
      </c>
      <c r="I39">
        <v>1</v>
      </c>
      <c r="J39" t="s">
        <v>20</v>
      </c>
      <c r="K39" t="s">
        <v>286</v>
      </c>
      <c r="L39" t="s">
        <v>22</v>
      </c>
      <c r="M39">
        <v>42</v>
      </c>
    </row>
    <row r="40" spans="1:13" x14ac:dyDescent="0.25">
      <c r="A40" t="s">
        <v>120</v>
      </c>
      <c r="B40" t="s">
        <v>121</v>
      </c>
      <c r="C40" t="s">
        <v>283</v>
      </c>
      <c r="D40" t="s">
        <v>284</v>
      </c>
      <c r="E40" t="s">
        <v>285</v>
      </c>
      <c r="F40" t="s">
        <v>49</v>
      </c>
      <c r="G40" t="s">
        <v>50</v>
      </c>
      <c r="H40">
        <v>0</v>
      </c>
      <c r="I40">
        <v>1</v>
      </c>
      <c r="J40" t="s">
        <v>20</v>
      </c>
      <c r="K40" t="s">
        <v>286</v>
      </c>
      <c r="L40" t="s">
        <v>22</v>
      </c>
      <c r="M40">
        <v>42</v>
      </c>
    </row>
    <row r="41" spans="1:13" x14ac:dyDescent="0.25">
      <c r="A41" t="s">
        <v>120</v>
      </c>
      <c r="B41" t="s">
        <v>121</v>
      </c>
      <c r="C41" t="s">
        <v>283</v>
      </c>
      <c r="D41" t="s">
        <v>284</v>
      </c>
      <c r="E41" t="s">
        <v>285</v>
      </c>
      <c r="F41" t="s">
        <v>51</v>
      </c>
      <c r="G41" t="s">
        <v>52</v>
      </c>
      <c r="H41">
        <v>0</v>
      </c>
      <c r="I41">
        <v>6</v>
      </c>
      <c r="J41" t="s">
        <v>20</v>
      </c>
      <c r="K41" t="s">
        <v>286</v>
      </c>
      <c r="L41" t="s">
        <v>22</v>
      </c>
      <c r="M41">
        <v>42</v>
      </c>
    </row>
    <row r="42" spans="1:13" x14ac:dyDescent="0.25">
      <c r="A42" t="s">
        <v>120</v>
      </c>
      <c r="B42" t="s">
        <v>121</v>
      </c>
      <c r="C42" t="s">
        <v>283</v>
      </c>
      <c r="D42" t="s">
        <v>284</v>
      </c>
      <c r="E42" t="s">
        <v>285</v>
      </c>
      <c r="F42" t="s">
        <v>55</v>
      </c>
      <c r="G42" t="s">
        <v>56</v>
      </c>
      <c r="H42">
        <v>0</v>
      </c>
      <c r="I42">
        <v>1</v>
      </c>
      <c r="J42" t="s">
        <v>20</v>
      </c>
      <c r="K42" t="s">
        <v>286</v>
      </c>
      <c r="L42" t="s">
        <v>22</v>
      </c>
      <c r="M42">
        <v>42</v>
      </c>
    </row>
    <row r="43" spans="1:13" x14ac:dyDescent="0.25">
      <c r="A43" t="s">
        <v>120</v>
      </c>
      <c r="B43" t="s">
        <v>121</v>
      </c>
      <c r="C43" t="s">
        <v>283</v>
      </c>
      <c r="D43" t="s">
        <v>284</v>
      </c>
      <c r="E43" t="s">
        <v>285</v>
      </c>
      <c r="F43" t="s">
        <v>59</v>
      </c>
      <c r="G43" t="s">
        <v>60</v>
      </c>
      <c r="H43">
        <v>0</v>
      </c>
      <c r="I43">
        <v>5</v>
      </c>
      <c r="J43" t="s">
        <v>20</v>
      </c>
      <c r="K43" t="s">
        <v>286</v>
      </c>
      <c r="L43" t="s">
        <v>22</v>
      </c>
      <c r="M43">
        <v>42</v>
      </c>
    </row>
    <row r="44" spans="1:13" x14ac:dyDescent="0.25">
      <c r="A44" t="s">
        <v>120</v>
      </c>
      <c r="B44" t="s">
        <v>121</v>
      </c>
      <c r="C44" t="s">
        <v>283</v>
      </c>
      <c r="D44" t="s">
        <v>284</v>
      </c>
      <c r="E44" t="s">
        <v>285</v>
      </c>
      <c r="F44" t="s">
        <v>61</v>
      </c>
      <c r="G44" t="s">
        <v>62</v>
      </c>
      <c r="H44">
        <v>5</v>
      </c>
      <c r="I44">
        <v>0</v>
      </c>
      <c r="J44" t="s">
        <v>20</v>
      </c>
      <c r="K44" t="s">
        <v>286</v>
      </c>
      <c r="L44" t="s">
        <v>22</v>
      </c>
      <c r="M44">
        <v>42</v>
      </c>
    </row>
    <row r="45" spans="1:13" x14ac:dyDescent="0.25">
      <c r="A45" t="s">
        <v>120</v>
      </c>
      <c r="B45" t="s">
        <v>121</v>
      </c>
      <c r="C45" t="s">
        <v>283</v>
      </c>
      <c r="D45" t="s">
        <v>284</v>
      </c>
      <c r="E45" t="s">
        <v>285</v>
      </c>
      <c r="F45" t="s">
        <v>63</v>
      </c>
      <c r="G45" t="s">
        <v>64</v>
      </c>
      <c r="H45">
        <v>4</v>
      </c>
      <c r="I45">
        <v>1</v>
      </c>
      <c r="J45" t="s">
        <v>20</v>
      </c>
      <c r="K45" t="s">
        <v>286</v>
      </c>
      <c r="L45" t="s">
        <v>22</v>
      </c>
      <c r="M45">
        <v>42</v>
      </c>
    </row>
    <row r="46" spans="1:13" x14ac:dyDescent="0.25">
      <c r="A46" t="s">
        <v>120</v>
      </c>
      <c r="B46" t="s">
        <v>121</v>
      </c>
      <c r="C46" t="s">
        <v>283</v>
      </c>
      <c r="D46" t="s">
        <v>284</v>
      </c>
      <c r="E46" t="s">
        <v>285</v>
      </c>
      <c r="F46" t="s">
        <v>27</v>
      </c>
      <c r="G46" t="s">
        <v>28</v>
      </c>
      <c r="H46">
        <v>0</v>
      </c>
      <c r="I46">
        <v>1</v>
      </c>
      <c r="J46" t="s">
        <v>20</v>
      </c>
      <c r="K46" t="s">
        <v>286</v>
      </c>
      <c r="L46" t="s">
        <v>22</v>
      </c>
      <c r="M46">
        <v>42</v>
      </c>
    </row>
    <row r="47" spans="1:13" x14ac:dyDescent="0.25">
      <c r="A47" t="s">
        <v>120</v>
      </c>
      <c r="B47" t="s">
        <v>121</v>
      </c>
      <c r="C47" t="s">
        <v>283</v>
      </c>
      <c r="D47" t="s">
        <v>284</v>
      </c>
      <c r="E47" t="s">
        <v>285</v>
      </c>
      <c r="F47" t="s">
        <v>65</v>
      </c>
      <c r="G47" t="s">
        <v>66</v>
      </c>
      <c r="H47">
        <v>0</v>
      </c>
      <c r="I47">
        <v>6</v>
      </c>
      <c r="J47" t="s">
        <v>20</v>
      </c>
      <c r="K47" t="s">
        <v>286</v>
      </c>
      <c r="L47" t="s">
        <v>22</v>
      </c>
      <c r="M47">
        <v>42</v>
      </c>
    </row>
    <row r="48" spans="1:13" x14ac:dyDescent="0.25">
      <c r="A48" t="s">
        <v>120</v>
      </c>
      <c r="B48" t="s">
        <v>121</v>
      </c>
      <c r="C48" t="s">
        <v>283</v>
      </c>
      <c r="D48" t="s">
        <v>284</v>
      </c>
      <c r="E48" t="s">
        <v>285</v>
      </c>
      <c r="F48" t="s">
        <v>29</v>
      </c>
      <c r="G48" t="s">
        <v>30</v>
      </c>
      <c r="H48">
        <v>5</v>
      </c>
      <c r="I48">
        <v>0</v>
      </c>
      <c r="J48" t="s">
        <v>20</v>
      </c>
      <c r="K48" t="s">
        <v>286</v>
      </c>
      <c r="L48" t="s">
        <v>22</v>
      </c>
      <c r="M48">
        <v>42</v>
      </c>
    </row>
    <row r="49" spans="1:13" x14ac:dyDescent="0.25">
      <c r="A49" t="s">
        <v>120</v>
      </c>
      <c r="B49" t="s">
        <v>121</v>
      </c>
      <c r="C49" t="s">
        <v>283</v>
      </c>
      <c r="D49" t="s">
        <v>284</v>
      </c>
      <c r="E49" t="s">
        <v>285</v>
      </c>
      <c r="F49" t="s">
        <v>69</v>
      </c>
      <c r="G49" t="s">
        <v>70</v>
      </c>
      <c r="H49">
        <v>0</v>
      </c>
      <c r="I49">
        <v>1</v>
      </c>
      <c r="J49" t="s">
        <v>20</v>
      </c>
      <c r="K49" t="s">
        <v>286</v>
      </c>
      <c r="L49" t="s">
        <v>22</v>
      </c>
      <c r="M49">
        <v>42</v>
      </c>
    </row>
    <row r="50" spans="1:13" x14ac:dyDescent="0.25">
      <c r="A50" t="s">
        <v>120</v>
      </c>
      <c r="B50" t="s">
        <v>121</v>
      </c>
      <c r="C50" t="s">
        <v>283</v>
      </c>
      <c r="D50" t="s">
        <v>284</v>
      </c>
      <c r="E50" t="s">
        <v>285</v>
      </c>
      <c r="F50" t="s">
        <v>31</v>
      </c>
      <c r="G50" t="s">
        <v>32</v>
      </c>
      <c r="H50">
        <v>0</v>
      </c>
      <c r="I50">
        <v>1</v>
      </c>
      <c r="J50" t="s">
        <v>20</v>
      </c>
      <c r="K50" t="s">
        <v>286</v>
      </c>
      <c r="L50" t="s">
        <v>22</v>
      </c>
      <c r="M50">
        <v>42</v>
      </c>
    </row>
    <row r="51" spans="1:13" x14ac:dyDescent="0.25">
      <c r="A51" t="s">
        <v>13</v>
      </c>
      <c r="B51" t="s">
        <v>14</v>
      </c>
      <c r="C51" t="s">
        <v>279</v>
      </c>
      <c r="D51" t="s">
        <v>280</v>
      </c>
      <c r="E51" t="s">
        <v>281</v>
      </c>
      <c r="F51" t="s">
        <v>18</v>
      </c>
      <c r="G51" t="s">
        <v>19</v>
      </c>
      <c r="H51">
        <v>0</v>
      </c>
      <c r="I51">
        <v>1</v>
      </c>
      <c r="J51" t="s">
        <v>94</v>
      </c>
      <c r="K51" t="s">
        <v>282</v>
      </c>
      <c r="L51" t="s">
        <v>22</v>
      </c>
      <c r="M51">
        <v>40</v>
      </c>
    </row>
    <row r="52" spans="1:13" x14ac:dyDescent="0.25">
      <c r="A52" t="s">
        <v>13</v>
      </c>
      <c r="B52" t="s">
        <v>14</v>
      </c>
      <c r="C52" t="s">
        <v>279</v>
      </c>
      <c r="D52" t="s">
        <v>280</v>
      </c>
      <c r="E52" t="s">
        <v>281</v>
      </c>
      <c r="F52" t="s">
        <v>39</v>
      </c>
      <c r="G52" t="s">
        <v>40</v>
      </c>
      <c r="H52">
        <v>5</v>
      </c>
      <c r="I52">
        <v>0</v>
      </c>
      <c r="J52" t="s">
        <v>94</v>
      </c>
      <c r="K52" t="s">
        <v>282</v>
      </c>
      <c r="L52" t="s">
        <v>22</v>
      </c>
      <c r="M52">
        <v>40</v>
      </c>
    </row>
    <row r="53" spans="1:13" x14ac:dyDescent="0.25">
      <c r="A53" t="s">
        <v>13</v>
      </c>
      <c r="B53" t="s">
        <v>14</v>
      </c>
      <c r="C53" t="s">
        <v>279</v>
      </c>
      <c r="D53" t="s">
        <v>280</v>
      </c>
      <c r="E53" t="s">
        <v>281</v>
      </c>
      <c r="F53" t="s">
        <v>45</v>
      </c>
      <c r="G53" t="s">
        <v>46</v>
      </c>
      <c r="H53">
        <v>0</v>
      </c>
      <c r="I53">
        <v>3</v>
      </c>
      <c r="J53" t="s">
        <v>94</v>
      </c>
      <c r="K53" t="s">
        <v>282</v>
      </c>
      <c r="L53" t="s">
        <v>22</v>
      </c>
      <c r="M53">
        <v>40</v>
      </c>
    </row>
    <row r="54" spans="1:13" x14ac:dyDescent="0.25">
      <c r="A54" t="s">
        <v>13</v>
      </c>
      <c r="B54" t="s">
        <v>14</v>
      </c>
      <c r="C54" t="s">
        <v>279</v>
      </c>
      <c r="D54" t="s">
        <v>280</v>
      </c>
      <c r="E54" t="s">
        <v>281</v>
      </c>
      <c r="F54" t="s">
        <v>51</v>
      </c>
      <c r="G54" t="s">
        <v>52</v>
      </c>
      <c r="H54">
        <v>0</v>
      </c>
      <c r="I54">
        <v>2</v>
      </c>
      <c r="J54" t="s">
        <v>94</v>
      </c>
      <c r="K54" t="s">
        <v>282</v>
      </c>
      <c r="L54" t="s">
        <v>22</v>
      </c>
      <c r="M54">
        <v>40</v>
      </c>
    </row>
    <row r="55" spans="1:13" x14ac:dyDescent="0.25">
      <c r="A55" t="s">
        <v>13</v>
      </c>
      <c r="B55" t="s">
        <v>14</v>
      </c>
      <c r="C55" t="s">
        <v>279</v>
      </c>
      <c r="D55" t="s">
        <v>280</v>
      </c>
      <c r="E55" t="s">
        <v>281</v>
      </c>
      <c r="F55" t="s">
        <v>59</v>
      </c>
      <c r="G55" t="s">
        <v>60</v>
      </c>
      <c r="H55">
        <v>0</v>
      </c>
      <c r="I55">
        <v>1</v>
      </c>
      <c r="J55" t="s">
        <v>94</v>
      </c>
      <c r="K55" t="s">
        <v>282</v>
      </c>
      <c r="L55" t="s">
        <v>22</v>
      </c>
      <c r="M55">
        <v>40</v>
      </c>
    </row>
    <row r="56" spans="1:13" x14ac:dyDescent="0.25">
      <c r="A56" t="s">
        <v>13</v>
      </c>
      <c r="B56" t="s">
        <v>14</v>
      </c>
      <c r="C56" t="s">
        <v>279</v>
      </c>
      <c r="D56" t="s">
        <v>280</v>
      </c>
      <c r="E56" t="s">
        <v>281</v>
      </c>
      <c r="F56" t="s">
        <v>25</v>
      </c>
      <c r="G56" t="s">
        <v>26</v>
      </c>
      <c r="H56">
        <v>5</v>
      </c>
      <c r="I56">
        <v>0</v>
      </c>
      <c r="J56" t="s">
        <v>94</v>
      </c>
      <c r="K56" t="s">
        <v>282</v>
      </c>
      <c r="L56" t="s">
        <v>22</v>
      </c>
      <c r="M56">
        <v>40</v>
      </c>
    </row>
    <row r="57" spans="1:13" x14ac:dyDescent="0.25">
      <c r="A57" t="s">
        <v>13</v>
      </c>
      <c r="B57" t="s">
        <v>14</v>
      </c>
      <c r="C57" t="s">
        <v>279</v>
      </c>
      <c r="D57" t="s">
        <v>280</v>
      </c>
      <c r="E57" t="s">
        <v>281</v>
      </c>
      <c r="F57" t="s">
        <v>65</v>
      </c>
      <c r="G57" t="s">
        <v>66</v>
      </c>
      <c r="H57">
        <v>0</v>
      </c>
      <c r="I57">
        <v>4</v>
      </c>
      <c r="J57" t="s">
        <v>94</v>
      </c>
      <c r="K57" t="s">
        <v>282</v>
      </c>
      <c r="L57" t="s">
        <v>22</v>
      </c>
      <c r="M57">
        <v>40</v>
      </c>
    </row>
    <row r="58" spans="1:13" x14ac:dyDescent="0.25">
      <c r="A58" t="s">
        <v>13</v>
      </c>
      <c r="B58" t="s">
        <v>14</v>
      </c>
      <c r="C58" t="s">
        <v>279</v>
      </c>
      <c r="D58" t="s">
        <v>280</v>
      </c>
      <c r="E58" t="s">
        <v>281</v>
      </c>
      <c r="F58" t="s">
        <v>31</v>
      </c>
      <c r="G58" t="s">
        <v>32</v>
      </c>
      <c r="H58">
        <v>5</v>
      </c>
      <c r="I58">
        <v>0</v>
      </c>
      <c r="J58" t="s">
        <v>94</v>
      </c>
      <c r="K58" t="s">
        <v>282</v>
      </c>
      <c r="L58" t="s">
        <v>22</v>
      </c>
      <c r="M58">
        <v>40</v>
      </c>
    </row>
    <row r="59" spans="1:13" x14ac:dyDescent="0.25">
      <c r="A59" t="s">
        <v>182</v>
      </c>
      <c r="B59" t="s">
        <v>183</v>
      </c>
      <c r="C59" t="s">
        <v>275</v>
      </c>
      <c r="D59" t="s">
        <v>276</v>
      </c>
      <c r="E59" t="s">
        <v>277</v>
      </c>
      <c r="F59" t="s">
        <v>18</v>
      </c>
      <c r="G59" t="s">
        <v>19</v>
      </c>
      <c r="H59">
        <v>0</v>
      </c>
      <c r="I59">
        <v>1</v>
      </c>
      <c r="J59" t="s">
        <v>94</v>
      </c>
      <c r="K59" t="s">
        <v>278</v>
      </c>
      <c r="L59" t="s">
        <v>22</v>
      </c>
      <c r="M59">
        <v>4</v>
      </c>
    </row>
    <row r="60" spans="1:13" x14ac:dyDescent="0.25">
      <c r="A60" t="s">
        <v>182</v>
      </c>
      <c r="B60" t="s">
        <v>183</v>
      </c>
      <c r="C60" t="s">
        <v>275</v>
      </c>
      <c r="D60" t="s">
        <v>276</v>
      </c>
      <c r="E60" t="s">
        <v>277</v>
      </c>
      <c r="F60" t="s">
        <v>79</v>
      </c>
      <c r="G60" t="s">
        <v>80</v>
      </c>
      <c r="H60">
        <v>5</v>
      </c>
      <c r="I60">
        <v>0</v>
      </c>
      <c r="J60" t="s">
        <v>94</v>
      </c>
      <c r="K60" t="s">
        <v>278</v>
      </c>
      <c r="L60" t="s">
        <v>22</v>
      </c>
      <c r="M60">
        <v>4</v>
      </c>
    </row>
    <row r="61" spans="1:13" x14ac:dyDescent="0.25">
      <c r="A61" t="s">
        <v>182</v>
      </c>
      <c r="B61" t="s">
        <v>183</v>
      </c>
      <c r="C61" t="s">
        <v>275</v>
      </c>
      <c r="D61" t="s">
        <v>276</v>
      </c>
      <c r="E61" t="s">
        <v>277</v>
      </c>
      <c r="F61" t="s">
        <v>45</v>
      </c>
      <c r="G61" t="s">
        <v>46</v>
      </c>
      <c r="H61">
        <v>0</v>
      </c>
      <c r="I61">
        <v>4</v>
      </c>
      <c r="J61" t="s">
        <v>94</v>
      </c>
      <c r="K61" t="s">
        <v>278</v>
      </c>
      <c r="L61" t="s">
        <v>22</v>
      </c>
      <c r="M61">
        <v>4</v>
      </c>
    </row>
    <row r="62" spans="1:13" x14ac:dyDescent="0.25">
      <c r="A62" t="s">
        <v>182</v>
      </c>
      <c r="B62" t="s">
        <v>183</v>
      </c>
      <c r="C62" t="s">
        <v>275</v>
      </c>
      <c r="D62" t="s">
        <v>276</v>
      </c>
      <c r="E62" t="s">
        <v>277</v>
      </c>
      <c r="F62" t="s">
        <v>49</v>
      </c>
      <c r="G62" t="s">
        <v>50</v>
      </c>
      <c r="H62">
        <v>5</v>
      </c>
      <c r="I62">
        <v>0</v>
      </c>
      <c r="J62" t="s">
        <v>94</v>
      </c>
      <c r="K62" t="s">
        <v>278</v>
      </c>
      <c r="L62" t="s">
        <v>22</v>
      </c>
      <c r="M62">
        <v>4</v>
      </c>
    </row>
    <row r="63" spans="1:13" x14ac:dyDescent="0.25">
      <c r="A63" t="s">
        <v>182</v>
      </c>
      <c r="B63" t="s">
        <v>183</v>
      </c>
      <c r="C63" t="s">
        <v>275</v>
      </c>
      <c r="D63" t="s">
        <v>276</v>
      </c>
      <c r="E63" t="s">
        <v>277</v>
      </c>
      <c r="F63" t="s">
        <v>51</v>
      </c>
      <c r="G63" t="s">
        <v>52</v>
      </c>
      <c r="H63">
        <v>0</v>
      </c>
      <c r="I63">
        <v>2</v>
      </c>
      <c r="J63" t="s">
        <v>94</v>
      </c>
      <c r="K63" t="s">
        <v>278</v>
      </c>
      <c r="L63" t="s">
        <v>22</v>
      </c>
      <c r="M63">
        <v>4</v>
      </c>
    </row>
    <row r="64" spans="1:13" x14ac:dyDescent="0.25">
      <c r="A64" t="s">
        <v>182</v>
      </c>
      <c r="B64" t="s">
        <v>183</v>
      </c>
      <c r="C64" t="s">
        <v>275</v>
      </c>
      <c r="D64" t="s">
        <v>276</v>
      </c>
      <c r="E64" t="s">
        <v>277</v>
      </c>
      <c r="F64" t="s">
        <v>55</v>
      </c>
      <c r="G64" t="s">
        <v>56</v>
      </c>
      <c r="H64">
        <v>5</v>
      </c>
      <c r="I64">
        <v>0</v>
      </c>
      <c r="J64" t="s">
        <v>94</v>
      </c>
      <c r="K64" t="s">
        <v>278</v>
      </c>
      <c r="L64" t="s">
        <v>22</v>
      </c>
      <c r="M64">
        <v>4</v>
      </c>
    </row>
    <row r="65" spans="1:13" x14ac:dyDescent="0.25">
      <c r="A65" t="s">
        <v>182</v>
      </c>
      <c r="B65" t="s">
        <v>183</v>
      </c>
      <c r="C65" t="s">
        <v>275</v>
      </c>
      <c r="D65" t="s">
        <v>276</v>
      </c>
      <c r="E65" t="s">
        <v>277</v>
      </c>
      <c r="F65" t="s">
        <v>59</v>
      </c>
      <c r="G65" t="s">
        <v>60</v>
      </c>
      <c r="H65">
        <v>0</v>
      </c>
      <c r="I65">
        <v>1</v>
      </c>
      <c r="J65" t="s">
        <v>94</v>
      </c>
      <c r="K65" t="s">
        <v>278</v>
      </c>
      <c r="L65" t="s">
        <v>22</v>
      </c>
      <c r="M65">
        <v>4</v>
      </c>
    </row>
    <row r="66" spans="1:13" x14ac:dyDescent="0.25">
      <c r="A66" t="s">
        <v>182</v>
      </c>
      <c r="B66" t="s">
        <v>183</v>
      </c>
      <c r="C66" t="s">
        <v>275</v>
      </c>
      <c r="D66" t="s">
        <v>276</v>
      </c>
      <c r="E66" t="s">
        <v>277</v>
      </c>
      <c r="F66" t="s">
        <v>65</v>
      </c>
      <c r="G66" t="s">
        <v>66</v>
      </c>
      <c r="H66">
        <v>0</v>
      </c>
      <c r="I66">
        <v>5</v>
      </c>
      <c r="J66" t="s">
        <v>94</v>
      </c>
      <c r="K66" t="s">
        <v>278</v>
      </c>
      <c r="L66" t="s">
        <v>22</v>
      </c>
      <c r="M66">
        <v>4</v>
      </c>
    </row>
    <row r="67" spans="1:13" x14ac:dyDescent="0.25">
      <c r="A67" t="s">
        <v>182</v>
      </c>
      <c r="B67" t="s">
        <v>183</v>
      </c>
      <c r="C67" t="s">
        <v>275</v>
      </c>
      <c r="D67" t="s">
        <v>276</v>
      </c>
      <c r="E67" t="s">
        <v>277</v>
      </c>
      <c r="F67" t="s">
        <v>67</v>
      </c>
      <c r="G67" t="s">
        <v>68</v>
      </c>
      <c r="H67">
        <v>8</v>
      </c>
      <c r="I67">
        <v>0</v>
      </c>
      <c r="J67" t="s">
        <v>94</v>
      </c>
      <c r="K67" t="s">
        <v>278</v>
      </c>
      <c r="L67" t="s">
        <v>22</v>
      </c>
      <c r="M67">
        <v>4</v>
      </c>
    </row>
    <row r="68" spans="1:13" x14ac:dyDescent="0.25">
      <c r="A68" t="s">
        <v>182</v>
      </c>
      <c r="B68" t="s">
        <v>183</v>
      </c>
      <c r="C68" t="s">
        <v>275</v>
      </c>
      <c r="D68" t="s">
        <v>276</v>
      </c>
      <c r="E68" t="s">
        <v>277</v>
      </c>
      <c r="F68" t="s">
        <v>29</v>
      </c>
      <c r="G68" t="s">
        <v>30</v>
      </c>
      <c r="H68">
        <v>5</v>
      </c>
      <c r="I68">
        <v>0</v>
      </c>
      <c r="J68" t="s">
        <v>94</v>
      </c>
      <c r="K68" t="s">
        <v>278</v>
      </c>
      <c r="L68" t="s">
        <v>22</v>
      </c>
      <c r="M68">
        <v>4</v>
      </c>
    </row>
    <row r="69" spans="1:13" x14ac:dyDescent="0.25">
      <c r="A69" t="s">
        <v>182</v>
      </c>
      <c r="B69" t="s">
        <v>183</v>
      </c>
      <c r="C69" t="s">
        <v>275</v>
      </c>
      <c r="D69" t="s">
        <v>276</v>
      </c>
      <c r="E69" t="s">
        <v>277</v>
      </c>
      <c r="F69" t="s">
        <v>71</v>
      </c>
      <c r="G69" t="s">
        <v>72</v>
      </c>
      <c r="H69">
        <v>5</v>
      </c>
      <c r="I69">
        <v>0</v>
      </c>
      <c r="J69" t="s">
        <v>94</v>
      </c>
      <c r="K69" t="s">
        <v>278</v>
      </c>
      <c r="L69" t="s">
        <v>22</v>
      </c>
      <c r="M69">
        <v>4</v>
      </c>
    </row>
    <row r="70" spans="1:13" x14ac:dyDescent="0.25">
      <c r="A70" t="s">
        <v>182</v>
      </c>
      <c r="B70" t="s">
        <v>183</v>
      </c>
      <c r="C70" t="s">
        <v>271</v>
      </c>
      <c r="D70" t="s">
        <v>272</v>
      </c>
      <c r="E70" t="s">
        <v>273</v>
      </c>
      <c r="F70" t="s">
        <v>39</v>
      </c>
      <c r="G70" t="s">
        <v>40</v>
      </c>
      <c r="H70">
        <v>0</v>
      </c>
      <c r="I70">
        <v>1</v>
      </c>
      <c r="J70" t="s">
        <v>94</v>
      </c>
      <c r="K70" t="s">
        <v>274</v>
      </c>
      <c r="L70" t="s">
        <v>22</v>
      </c>
      <c r="M70">
        <v>37</v>
      </c>
    </row>
    <row r="71" spans="1:13" x14ac:dyDescent="0.25">
      <c r="A71" t="s">
        <v>182</v>
      </c>
      <c r="B71" t="s">
        <v>183</v>
      </c>
      <c r="C71" t="s">
        <v>271</v>
      </c>
      <c r="D71" t="s">
        <v>272</v>
      </c>
      <c r="E71" t="s">
        <v>273</v>
      </c>
      <c r="F71" t="s">
        <v>45</v>
      </c>
      <c r="G71" t="s">
        <v>46</v>
      </c>
      <c r="H71">
        <v>0</v>
      </c>
      <c r="I71">
        <v>2</v>
      </c>
      <c r="J71" t="s">
        <v>94</v>
      </c>
      <c r="K71" t="s">
        <v>274</v>
      </c>
      <c r="L71" t="s">
        <v>22</v>
      </c>
      <c r="M71">
        <v>37</v>
      </c>
    </row>
    <row r="72" spans="1:13" x14ac:dyDescent="0.25">
      <c r="A72" t="s">
        <v>182</v>
      </c>
      <c r="B72" t="s">
        <v>183</v>
      </c>
      <c r="C72" t="s">
        <v>271</v>
      </c>
      <c r="D72" t="s">
        <v>272</v>
      </c>
      <c r="E72" t="s">
        <v>273</v>
      </c>
      <c r="F72" t="s">
        <v>51</v>
      </c>
      <c r="G72" t="s">
        <v>52</v>
      </c>
      <c r="H72">
        <v>0</v>
      </c>
      <c r="I72">
        <v>2</v>
      </c>
      <c r="J72" t="s">
        <v>94</v>
      </c>
      <c r="K72" t="s">
        <v>274</v>
      </c>
      <c r="L72" t="s">
        <v>22</v>
      </c>
      <c r="M72">
        <v>37</v>
      </c>
    </row>
    <row r="73" spans="1:13" x14ac:dyDescent="0.25">
      <c r="A73" t="s">
        <v>182</v>
      </c>
      <c r="B73" t="s">
        <v>183</v>
      </c>
      <c r="C73" t="s">
        <v>271</v>
      </c>
      <c r="D73" t="s">
        <v>272</v>
      </c>
      <c r="E73" t="s">
        <v>273</v>
      </c>
      <c r="F73" t="s">
        <v>59</v>
      </c>
      <c r="G73" t="s">
        <v>60</v>
      </c>
      <c r="H73">
        <v>0</v>
      </c>
      <c r="I73">
        <v>1</v>
      </c>
      <c r="J73" t="s">
        <v>94</v>
      </c>
      <c r="K73" t="s">
        <v>274</v>
      </c>
      <c r="L73" t="s">
        <v>22</v>
      </c>
      <c r="M73">
        <v>37</v>
      </c>
    </row>
    <row r="74" spans="1:13" x14ac:dyDescent="0.25">
      <c r="A74" t="s">
        <v>182</v>
      </c>
      <c r="B74" t="s">
        <v>183</v>
      </c>
      <c r="C74" t="s">
        <v>271</v>
      </c>
      <c r="D74" t="s">
        <v>272</v>
      </c>
      <c r="E74" t="s">
        <v>273</v>
      </c>
      <c r="F74" t="s">
        <v>65</v>
      </c>
      <c r="G74" t="s">
        <v>66</v>
      </c>
      <c r="H74">
        <v>0</v>
      </c>
      <c r="I74">
        <v>3</v>
      </c>
      <c r="J74" t="s">
        <v>94</v>
      </c>
      <c r="K74" t="s">
        <v>274</v>
      </c>
      <c r="L74" t="s">
        <v>22</v>
      </c>
      <c r="M74">
        <v>37</v>
      </c>
    </row>
    <row r="75" spans="1:13" x14ac:dyDescent="0.25">
      <c r="A75" t="s">
        <v>165</v>
      </c>
      <c r="B75" t="s">
        <v>166</v>
      </c>
      <c r="C75" t="s">
        <v>267</v>
      </c>
      <c r="D75" t="s">
        <v>268</v>
      </c>
      <c r="E75" t="s">
        <v>269</v>
      </c>
      <c r="F75" t="s">
        <v>18</v>
      </c>
      <c r="G75" t="s">
        <v>19</v>
      </c>
      <c r="H75">
        <v>0</v>
      </c>
      <c r="I75">
        <v>1</v>
      </c>
      <c r="J75" t="s">
        <v>20</v>
      </c>
      <c r="K75" t="s">
        <v>270</v>
      </c>
      <c r="L75" t="s">
        <v>22</v>
      </c>
      <c r="M75">
        <v>36</v>
      </c>
    </row>
    <row r="76" spans="1:13" x14ac:dyDescent="0.25">
      <c r="A76" t="s">
        <v>165</v>
      </c>
      <c r="B76" t="s">
        <v>166</v>
      </c>
      <c r="C76" t="s">
        <v>267</v>
      </c>
      <c r="D76" t="s">
        <v>268</v>
      </c>
      <c r="E76" t="s">
        <v>269</v>
      </c>
      <c r="F76" t="s">
        <v>39</v>
      </c>
      <c r="G76" t="s">
        <v>40</v>
      </c>
      <c r="H76">
        <v>5</v>
      </c>
      <c r="I76">
        <v>0</v>
      </c>
      <c r="J76" t="s">
        <v>20</v>
      </c>
      <c r="K76" t="s">
        <v>270</v>
      </c>
      <c r="L76" t="s">
        <v>22</v>
      </c>
      <c r="M76">
        <v>36</v>
      </c>
    </row>
    <row r="77" spans="1:13" x14ac:dyDescent="0.25">
      <c r="A77" t="s">
        <v>165</v>
      </c>
      <c r="B77" t="s">
        <v>166</v>
      </c>
      <c r="C77" t="s">
        <v>267</v>
      </c>
      <c r="D77" t="s">
        <v>268</v>
      </c>
      <c r="E77" t="s">
        <v>269</v>
      </c>
      <c r="F77" t="s">
        <v>45</v>
      </c>
      <c r="G77" t="s">
        <v>46</v>
      </c>
      <c r="H77">
        <v>0</v>
      </c>
      <c r="I77">
        <v>2</v>
      </c>
      <c r="J77" t="s">
        <v>20</v>
      </c>
      <c r="K77" t="s">
        <v>270</v>
      </c>
      <c r="L77" t="s">
        <v>22</v>
      </c>
      <c r="M77">
        <v>36</v>
      </c>
    </row>
    <row r="78" spans="1:13" x14ac:dyDescent="0.25">
      <c r="A78" t="s">
        <v>165</v>
      </c>
      <c r="B78" t="s">
        <v>166</v>
      </c>
      <c r="C78" t="s">
        <v>267</v>
      </c>
      <c r="D78" t="s">
        <v>268</v>
      </c>
      <c r="E78" t="s">
        <v>269</v>
      </c>
      <c r="F78" t="s">
        <v>51</v>
      </c>
      <c r="G78" t="s">
        <v>52</v>
      </c>
      <c r="H78">
        <v>0</v>
      </c>
      <c r="I78">
        <v>2</v>
      </c>
      <c r="J78" t="s">
        <v>20</v>
      </c>
      <c r="K78" t="s">
        <v>270</v>
      </c>
      <c r="L78" t="s">
        <v>22</v>
      </c>
      <c r="M78">
        <v>36</v>
      </c>
    </row>
    <row r="79" spans="1:13" x14ac:dyDescent="0.25">
      <c r="A79" t="s">
        <v>165</v>
      </c>
      <c r="B79" t="s">
        <v>166</v>
      </c>
      <c r="C79" t="s">
        <v>267</v>
      </c>
      <c r="D79" t="s">
        <v>268</v>
      </c>
      <c r="E79" t="s">
        <v>269</v>
      </c>
      <c r="F79" t="s">
        <v>53</v>
      </c>
      <c r="G79" t="s">
        <v>54</v>
      </c>
      <c r="H79">
        <v>0</v>
      </c>
      <c r="I79">
        <v>1</v>
      </c>
      <c r="J79" t="s">
        <v>20</v>
      </c>
      <c r="K79" t="s">
        <v>270</v>
      </c>
      <c r="L79" t="s">
        <v>22</v>
      </c>
      <c r="M79">
        <v>36</v>
      </c>
    </row>
    <row r="80" spans="1:13" x14ac:dyDescent="0.25">
      <c r="A80" t="s">
        <v>165</v>
      </c>
      <c r="B80" t="s">
        <v>166</v>
      </c>
      <c r="C80" t="s">
        <v>267</v>
      </c>
      <c r="D80" t="s">
        <v>268</v>
      </c>
      <c r="E80" t="s">
        <v>269</v>
      </c>
      <c r="F80" t="s">
        <v>59</v>
      </c>
      <c r="G80" t="s">
        <v>60</v>
      </c>
      <c r="H80">
        <v>0</v>
      </c>
      <c r="I80">
        <v>2</v>
      </c>
      <c r="J80" t="s">
        <v>20</v>
      </c>
      <c r="K80" t="s">
        <v>270</v>
      </c>
      <c r="L80" t="s">
        <v>22</v>
      </c>
      <c r="M80">
        <v>36</v>
      </c>
    </row>
    <row r="81" spans="1:13" x14ac:dyDescent="0.25">
      <c r="A81" t="s">
        <v>165</v>
      </c>
      <c r="B81" t="s">
        <v>166</v>
      </c>
      <c r="C81" t="s">
        <v>267</v>
      </c>
      <c r="D81" t="s">
        <v>268</v>
      </c>
      <c r="E81" t="s">
        <v>269</v>
      </c>
      <c r="F81" t="s">
        <v>61</v>
      </c>
      <c r="G81" t="s">
        <v>62</v>
      </c>
      <c r="H81">
        <v>0</v>
      </c>
      <c r="I81">
        <v>1</v>
      </c>
      <c r="J81" t="s">
        <v>20</v>
      </c>
      <c r="K81" t="s">
        <v>270</v>
      </c>
      <c r="L81" t="s">
        <v>22</v>
      </c>
      <c r="M81">
        <v>36</v>
      </c>
    </row>
    <row r="82" spans="1:13" x14ac:dyDescent="0.25">
      <c r="A82" t="s">
        <v>165</v>
      </c>
      <c r="B82" t="s">
        <v>166</v>
      </c>
      <c r="C82" t="s">
        <v>267</v>
      </c>
      <c r="D82" t="s">
        <v>268</v>
      </c>
      <c r="E82" t="s">
        <v>269</v>
      </c>
      <c r="F82" t="s">
        <v>65</v>
      </c>
      <c r="G82" t="s">
        <v>66</v>
      </c>
      <c r="H82">
        <v>0</v>
      </c>
      <c r="I82">
        <v>3</v>
      </c>
      <c r="J82" t="s">
        <v>20</v>
      </c>
      <c r="K82" t="s">
        <v>270</v>
      </c>
      <c r="L82" t="s">
        <v>22</v>
      </c>
      <c r="M82">
        <v>36</v>
      </c>
    </row>
    <row r="83" spans="1:13" x14ac:dyDescent="0.25">
      <c r="A83" t="s">
        <v>96</v>
      </c>
      <c r="B83" t="s">
        <v>97</v>
      </c>
      <c r="C83" t="s">
        <v>263</v>
      </c>
      <c r="D83" t="s">
        <v>264</v>
      </c>
      <c r="E83" t="s">
        <v>265</v>
      </c>
      <c r="F83" t="s">
        <v>45</v>
      </c>
      <c r="G83" t="s">
        <v>46</v>
      </c>
      <c r="H83">
        <v>0</v>
      </c>
      <c r="I83">
        <v>1</v>
      </c>
      <c r="J83" t="s">
        <v>101</v>
      </c>
      <c r="K83" t="s">
        <v>266</v>
      </c>
      <c r="L83" t="s">
        <v>22</v>
      </c>
      <c r="M83">
        <v>34</v>
      </c>
    </row>
    <row r="84" spans="1:13" x14ac:dyDescent="0.25">
      <c r="A84" t="s">
        <v>96</v>
      </c>
      <c r="B84" t="s">
        <v>97</v>
      </c>
      <c r="C84" t="s">
        <v>263</v>
      </c>
      <c r="D84" t="s">
        <v>264</v>
      </c>
      <c r="E84" t="s">
        <v>265</v>
      </c>
      <c r="F84" t="s">
        <v>51</v>
      </c>
      <c r="G84" t="s">
        <v>52</v>
      </c>
      <c r="H84">
        <v>0</v>
      </c>
      <c r="I84">
        <v>2</v>
      </c>
      <c r="J84" t="s">
        <v>101</v>
      </c>
      <c r="K84" t="s">
        <v>266</v>
      </c>
      <c r="L84" t="s">
        <v>22</v>
      </c>
      <c r="M84">
        <v>34</v>
      </c>
    </row>
    <row r="85" spans="1:13" x14ac:dyDescent="0.25">
      <c r="A85" t="s">
        <v>96</v>
      </c>
      <c r="B85" t="s">
        <v>97</v>
      </c>
      <c r="C85" t="s">
        <v>263</v>
      </c>
      <c r="D85" t="s">
        <v>264</v>
      </c>
      <c r="E85" t="s">
        <v>265</v>
      </c>
      <c r="F85" t="s">
        <v>59</v>
      </c>
      <c r="G85" t="s">
        <v>60</v>
      </c>
      <c r="H85">
        <v>0</v>
      </c>
      <c r="I85">
        <v>1</v>
      </c>
      <c r="J85" t="s">
        <v>101</v>
      </c>
      <c r="K85" t="s">
        <v>266</v>
      </c>
      <c r="L85" t="s">
        <v>22</v>
      </c>
      <c r="M85">
        <v>34</v>
      </c>
    </row>
    <row r="86" spans="1:13" x14ac:dyDescent="0.25">
      <c r="A86" t="s">
        <v>96</v>
      </c>
      <c r="B86" t="s">
        <v>97</v>
      </c>
      <c r="C86" t="s">
        <v>263</v>
      </c>
      <c r="D86" t="s">
        <v>264</v>
      </c>
      <c r="E86" t="s">
        <v>265</v>
      </c>
      <c r="F86" t="s">
        <v>27</v>
      </c>
      <c r="G86" t="s">
        <v>28</v>
      </c>
      <c r="H86">
        <v>5</v>
      </c>
      <c r="I86">
        <v>0</v>
      </c>
      <c r="J86" t="s">
        <v>101</v>
      </c>
      <c r="K86" t="s">
        <v>266</v>
      </c>
      <c r="L86" t="s">
        <v>22</v>
      </c>
      <c r="M86">
        <v>34</v>
      </c>
    </row>
    <row r="87" spans="1:13" x14ac:dyDescent="0.25">
      <c r="A87" t="s">
        <v>96</v>
      </c>
      <c r="B87" t="s">
        <v>97</v>
      </c>
      <c r="C87" t="s">
        <v>263</v>
      </c>
      <c r="D87" t="s">
        <v>264</v>
      </c>
      <c r="E87" t="s">
        <v>265</v>
      </c>
      <c r="F87" t="s">
        <v>65</v>
      </c>
      <c r="G87" t="s">
        <v>66</v>
      </c>
      <c r="H87">
        <v>0</v>
      </c>
      <c r="I87">
        <v>2</v>
      </c>
      <c r="J87" t="s">
        <v>101</v>
      </c>
      <c r="K87" t="s">
        <v>266</v>
      </c>
      <c r="L87" t="s">
        <v>22</v>
      </c>
      <c r="M87">
        <v>34</v>
      </c>
    </row>
    <row r="88" spans="1:13" x14ac:dyDescent="0.25">
      <c r="A88" t="s">
        <v>96</v>
      </c>
      <c r="B88" t="s">
        <v>97</v>
      </c>
      <c r="C88" t="s">
        <v>263</v>
      </c>
      <c r="D88" t="s">
        <v>264</v>
      </c>
      <c r="E88" t="s">
        <v>265</v>
      </c>
      <c r="F88" t="s">
        <v>69</v>
      </c>
      <c r="G88" t="s">
        <v>70</v>
      </c>
      <c r="H88">
        <v>2</v>
      </c>
      <c r="I88">
        <v>0</v>
      </c>
      <c r="J88" t="s">
        <v>101</v>
      </c>
      <c r="K88" t="s">
        <v>266</v>
      </c>
      <c r="L88" t="s">
        <v>22</v>
      </c>
      <c r="M88">
        <v>34</v>
      </c>
    </row>
    <row r="89" spans="1:13" x14ac:dyDescent="0.25">
      <c r="A89" t="s">
        <v>103</v>
      </c>
      <c r="B89" t="s">
        <v>104</v>
      </c>
      <c r="C89" t="s">
        <v>254</v>
      </c>
      <c r="D89" t="s">
        <v>255</v>
      </c>
      <c r="E89" t="s">
        <v>256</v>
      </c>
      <c r="F89" t="s">
        <v>18</v>
      </c>
      <c r="G89" t="s">
        <v>19</v>
      </c>
      <c r="H89">
        <v>0</v>
      </c>
      <c r="I89">
        <v>1</v>
      </c>
      <c r="J89" t="s">
        <v>20</v>
      </c>
      <c r="K89" t="s">
        <v>257</v>
      </c>
      <c r="L89" t="s">
        <v>22</v>
      </c>
      <c r="M89">
        <v>22</v>
      </c>
    </row>
    <row r="90" spans="1:13" x14ac:dyDescent="0.25">
      <c r="A90" t="s">
        <v>103</v>
      </c>
      <c r="B90" t="s">
        <v>104</v>
      </c>
      <c r="C90" t="s">
        <v>254</v>
      </c>
      <c r="D90" t="s">
        <v>255</v>
      </c>
      <c r="E90" t="s">
        <v>256</v>
      </c>
      <c r="F90" t="s">
        <v>79</v>
      </c>
      <c r="G90" t="s">
        <v>80</v>
      </c>
      <c r="H90">
        <v>5</v>
      </c>
      <c r="I90">
        <v>0</v>
      </c>
      <c r="J90" t="s">
        <v>20</v>
      </c>
      <c r="K90" t="s">
        <v>257</v>
      </c>
      <c r="L90" t="s">
        <v>22</v>
      </c>
      <c r="M90">
        <v>22</v>
      </c>
    </row>
    <row r="91" spans="1:13" x14ac:dyDescent="0.25">
      <c r="A91" t="s">
        <v>103</v>
      </c>
      <c r="B91" t="s">
        <v>104</v>
      </c>
      <c r="C91" t="s">
        <v>254</v>
      </c>
      <c r="D91" t="s">
        <v>255</v>
      </c>
      <c r="E91" t="s">
        <v>256</v>
      </c>
      <c r="F91" t="s">
        <v>39</v>
      </c>
      <c r="G91" t="s">
        <v>40</v>
      </c>
      <c r="H91">
        <v>5</v>
      </c>
      <c r="I91">
        <v>0</v>
      </c>
      <c r="J91" t="s">
        <v>20</v>
      </c>
      <c r="K91" t="s">
        <v>257</v>
      </c>
      <c r="L91" t="s">
        <v>22</v>
      </c>
      <c r="M91">
        <v>22</v>
      </c>
    </row>
    <row r="92" spans="1:13" x14ac:dyDescent="0.25">
      <c r="A92" t="s">
        <v>103</v>
      </c>
      <c r="B92" t="s">
        <v>104</v>
      </c>
      <c r="C92" t="s">
        <v>254</v>
      </c>
      <c r="D92" t="s">
        <v>255</v>
      </c>
      <c r="E92" t="s">
        <v>256</v>
      </c>
      <c r="F92" t="s">
        <v>45</v>
      </c>
      <c r="G92" t="s">
        <v>46</v>
      </c>
      <c r="H92">
        <v>0</v>
      </c>
      <c r="I92">
        <v>1</v>
      </c>
      <c r="J92" t="s">
        <v>20</v>
      </c>
      <c r="K92" t="s">
        <v>257</v>
      </c>
      <c r="L92" t="s">
        <v>22</v>
      </c>
      <c r="M92">
        <v>22</v>
      </c>
    </row>
    <row r="93" spans="1:13" x14ac:dyDescent="0.25">
      <c r="A93" t="s">
        <v>103</v>
      </c>
      <c r="B93" t="s">
        <v>104</v>
      </c>
      <c r="C93" t="s">
        <v>254</v>
      </c>
      <c r="D93" t="s">
        <v>255</v>
      </c>
      <c r="E93" t="s">
        <v>256</v>
      </c>
      <c r="F93" t="s">
        <v>51</v>
      </c>
      <c r="G93" t="s">
        <v>52</v>
      </c>
      <c r="H93">
        <v>0</v>
      </c>
      <c r="I93">
        <v>1</v>
      </c>
      <c r="J93" t="s">
        <v>20</v>
      </c>
      <c r="K93" t="s">
        <v>257</v>
      </c>
      <c r="L93" t="s">
        <v>22</v>
      </c>
      <c r="M93">
        <v>22</v>
      </c>
    </row>
    <row r="94" spans="1:13" x14ac:dyDescent="0.25">
      <c r="A94" t="s">
        <v>103</v>
      </c>
      <c r="B94" t="s">
        <v>104</v>
      </c>
      <c r="C94" t="s">
        <v>254</v>
      </c>
      <c r="D94" t="s">
        <v>255</v>
      </c>
      <c r="E94" t="s">
        <v>256</v>
      </c>
      <c r="F94" t="s">
        <v>53</v>
      </c>
      <c r="G94" t="s">
        <v>54</v>
      </c>
      <c r="H94">
        <v>5</v>
      </c>
      <c r="I94">
        <v>0</v>
      </c>
      <c r="J94" t="s">
        <v>20</v>
      </c>
      <c r="K94" t="s">
        <v>257</v>
      </c>
      <c r="L94" t="s">
        <v>22</v>
      </c>
      <c r="M94">
        <v>22</v>
      </c>
    </row>
    <row r="95" spans="1:13" x14ac:dyDescent="0.25">
      <c r="A95" t="s">
        <v>103</v>
      </c>
      <c r="B95" t="s">
        <v>104</v>
      </c>
      <c r="C95" t="s">
        <v>254</v>
      </c>
      <c r="D95" t="s">
        <v>255</v>
      </c>
      <c r="E95" t="s">
        <v>256</v>
      </c>
      <c r="F95" t="s">
        <v>59</v>
      </c>
      <c r="G95" t="s">
        <v>60</v>
      </c>
      <c r="H95">
        <v>0</v>
      </c>
      <c r="I95">
        <v>1</v>
      </c>
      <c r="J95" t="s">
        <v>20</v>
      </c>
      <c r="K95" t="s">
        <v>257</v>
      </c>
      <c r="L95" t="s">
        <v>22</v>
      </c>
      <c r="M95">
        <v>22</v>
      </c>
    </row>
    <row r="96" spans="1:13" x14ac:dyDescent="0.25">
      <c r="A96" t="s">
        <v>103</v>
      </c>
      <c r="B96" t="s">
        <v>104</v>
      </c>
      <c r="C96" t="s">
        <v>254</v>
      </c>
      <c r="D96" t="s">
        <v>255</v>
      </c>
      <c r="E96" t="s">
        <v>256</v>
      </c>
      <c r="F96" t="s">
        <v>63</v>
      </c>
      <c r="G96" t="s">
        <v>64</v>
      </c>
      <c r="H96">
        <v>4</v>
      </c>
      <c r="I96">
        <v>0</v>
      </c>
      <c r="J96" t="s">
        <v>20</v>
      </c>
      <c r="K96" t="s">
        <v>257</v>
      </c>
      <c r="L96" t="s">
        <v>22</v>
      </c>
      <c r="M96">
        <v>22</v>
      </c>
    </row>
    <row r="97" spans="1:13" x14ac:dyDescent="0.25">
      <c r="A97" t="s">
        <v>103</v>
      </c>
      <c r="B97" t="s">
        <v>104</v>
      </c>
      <c r="C97" t="s">
        <v>254</v>
      </c>
      <c r="D97" t="s">
        <v>255</v>
      </c>
      <c r="E97" t="s">
        <v>256</v>
      </c>
      <c r="F97" t="s">
        <v>25</v>
      </c>
      <c r="G97" t="s">
        <v>26</v>
      </c>
      <c r="H97">
        <v>5</v>
      </c>
      <c r="I97">
        <v>0</v>
      </c>
      <c r="J97" t="s">
        <v>20</v>
      </c>
      <c r="K97" t="s">
        <v>257</v>
      </c>
      <c r="L97" t="s">
        <v>22</v>
      </c>
      <c r="M97">
        <v>22</v>
      </c>
    </row>
    <row r="98" spans="1:13" x14ac:dyDescent="0.25">
      <c r="A98" t="s">
        <v>103</v>
      </c>
      <c r="B98" t="s">
        <v>104</v>
      </c>
      <c r="C98" t="s">
        <v>254</v>
      </c>
      <c r="D98" t="s">
        <v>255</v>
      </c>
      <c r="E98" t="s">
        <v>256</v>
      </c>
      <c r="F98" t="s">
        <v>65</v>
      </c>
      <c r="G98" t="s">
        <v>66</v>
      </c>
      <c r="H98">
        <v>0</v>
      </c>
      <c r="I98">
        <v>1</v>
      </c>
      <c r="J98" t="s">
        <v>20</v>
      </c>
      <c r="K98" t="s">
        <v>257</v>
      </c>
      <c r="L98" t="s">
        <v>22</v>
      </c>
      <c r="M98">
        <v>22</v>
      </c>
    </row>
    <row r="99" spans="1:13" x14ac:dyDescent="0.25">
      <c r="A99" t="s">
        <v>103</v>
      </c>
      <c r="B99" t="s">
        <v>104</v>
      </c>
      <c r="C99" t="s">
        <v>254</v>
      </c>
      <c r="D99" t="s">
        <v>255</v>
      </c>
      <c r="E99" t="s">
        <v>256</v>
      </c>
      <c r="F99" t="s">
        <v>67</v>
      </c>
      <c r="G99" t="s">
        <v>68</v>
      </c>
      <c r="H99">
        <v>0</v>
      </c>
      <c r="I99">
        <v>1</v>
      </c>
      <c r="J99" t="s">
        <v>20</v>
      </c>
      <c r="K99" t="s">
        <v>257</v>
      </c>
      <c r="L99" t="s">
        <v>22</v>
      </c>
      <c r="M99">
        <v>22</v>
      </c>
    </row>
    <row r="100" spans="1:13" x14ac:dyDescent="0.25">
      <c r="A100" t="s">
        <v>103</v>
      </c>
      <c r="B100" t="s">
        <v>104</v>
      </c>
      <c r="C100" t="s">
        <v>254</v>
      </c>
      <c r="D100" t="s">
        <v>255</v>
      </c>
      <c r="E100" t="s">
        <v>256</v>
      </c>
      <c r="F100" t="s">
        <v>29</v>
      </c>
      <c r="G100" t="s">
        <v>30</v>
      </c>
      <c r="H100">
        <v>5</v>
      </c>
      <c r="I100">
        <v>0</v>
      </c>
      <c r="J100" t="s">
        <v>20</v>
      </c>
      <c r="K100" t="s">
        <v>257</v>
      </c>
      <c r="L100" t="s">
        <v>22</v>
      </c>
      <c r="M100">
        <v>22</v>
      </c>
    </row>
    <row r="101" spans="1:13" x14ac:dyDescent="0.25">
      <c r="A101" t="s">
        <v>258</v>
      </c>
      <c r="B101" t="s">
        <v>259</v>
      </c>
      <c r="C101" t="s">
        <v>260</v>
      </c>
      <c r="D101" t="s">
        <v>261</v>
      </c>
      <c r="E101" t="s">
        <v>262</v>
      </c>
      <c r="F101" t="s">
        <v>39</v>
      </c>
      <c r="G101" t="s">
        <v>40</v>
      </c>
      <c r="H101">
        <v>0</v>
      </c>
      <c r="I101">
        <v>1</v>
      </c>
      <c r="J101" t="s">
        <v>20</v>
      </c>
      <c r="K101" t="s">
        <v>257</v>
      </c>
      <c r="L101" t="s">
        <v>22</v>
      </c>
      <c r="M101">
        <v>32</v>
      </c>
    </row>
    <row r="102" spans="1:13" x14ac:dyDescent="0.25">
      <c r="A102" t="s">
        <v>258</v>
      </c>
      <c r="B102" t="s">
        <v>259</v>
      </c>
      <c r="C102" t="s">
        <v>260</v>
      </c>
      <c r="D102" t="s">
        <v>261</v>
      </c>
      <c r="E102" t="s">
        <v>262</v>
      </c>
      <c r="F102" t="s">
        <v>41</v>
      </c>
      <c r="G102" t="s">
        <v>42</v>
      </c>
      <c r="H102">
        <v>2</v>
      </c>
      <c r="I102">
        <v>0</v>
      </c>
      <c r="J102" t="s">
        <v>20</v>
      </c>
      <c r="K102" t="s">
        <v>257</v>
      </c>
      <c r="L102" t="s">
        <v>22</v>
      </c>
      <c r="M102">
        <v>32</v>
      </c>
    </row>
    <row r="103" spans="1:13" x14ac:dyDescent="0.25">
      <c r="A103" t="s">
        <v>258</v>
      </c>
      <c r="B103" t="s">
        <v>259</v>
      </c>
      <c r="C103" t="s">
        <v>260</v>
      </c>
      <c r="D103" t="s">
        <v>261</v>
      </c>
      <c r="E103" t="s">
        <v>262</v>
      </c>
      <c r="F103" t="s">
        <v>45</v>
      </c>
      <c r="G103" t="s">
        <v>46</v>
      </c>
      <c r="H103">
        <v>0</v>
      </c>
      <c r="I103">
        <v>5</v>
      </c>
      <c r="J103" t="s">
        <v>20</v>
      </c>
      <c r="K103" t="s">
        <v>257</v>
      </c>
      <c r="L103" t="s">
        <v>22</v>
      </c>
      <c r="M103">
        <v>32</v>
      </c>
    </row>
    <row r="104" spans="1:13" x14ac:dyDescent="0.25">
      <c r="A104" t="s">
        <v>258</v>
      </c>
      <c r="B104" t="s">
        <v>259</v>
      </c>
      <c r="C104" t="s">
        <v>260</v>
      </c>
      <c r="D104" t="s">
        <v>261</v>
      </c>
      <c r="E104" t="s">
        <v>262</v>
      </c>
      <c r="F104" t="s">
        <v>47</v>
      </c>
      <c r="G104" t="s">
        <v>48</v>
      </c>
      <c r="H104">
        <v>0</v>
      </c>
      <c r="I104">
        <v>2</v>
      </c>
      <c r="J104" t="s">
        <v>20</v>
      </c>
      <c r="K104" t="s">
        <v>257</v>
      </c>
      <c r="L104" t="s">
        <v>22</v>
      </c>
      <c r="M104">
        <v>32</v>
      </c>
    </row>
    <row r="105" spans="1:13" x14ac:dyDescent="0.25">
      <c r="A105" t="s">
        <v>258</v>
      </c>
      <c r="B105" t="s">
        <v>259</v>
      </c>
      <c r="C105" t="s">
        <v>260</v>
      </c>
      <c r="D105" t="s">
        <v>261</v>
      </c>
      <c r="E105" t="s">
        <v>262</v>
      </c>
      <c r="F105" t="s">
        <v>49</v>
      </c>
      <c r="G105" t="s">
        <v>50</v>
      </c>
      <c r="H105">
        <v>5</v>
      </c>
      <c r="I105">
        <v>0</v>
      </c>
      <c r="J105" t="s">
        <v>20</v>
      </c>
      <c r="K105" t="s">
        <v>257</v>
      </c>
      <c r="L105" t="s">
        <v>22</v>
      </c>
      <c r="M105">
        <v>32</v>
      </c>
    </row>
    <row r="106" spans="1:13" x14ac:dyDescent="0.25">
      <c r="A106" t="s">
        <v>258</v>
      </c>
      <c r="B106" t="s">
        <v>259</v>
      </c>
      <c r="C106" t="s">
        <v>260</v>
      </c>
      <c r="D106" t="s">
        <v>261</v>
      </c>
      <c r="E106" t="s">
        <v>262</v>
      </c>
      <c r="F106" t="s">
        <v>51</v>
      </c>
      <c r="G106" t="s">
        <v>52</v>
      </c>
      <c r="H106">
        <v>0</v>
      </c>
      <c r="I106">
        <v>4</v>
      </c>
      <c r="J106" t="s">
        <v>20</v>
      </c>
      <c r="K106" t="s">
        <v>257</v>
      </c>
      <c r="L106" t="s">
        <v>22</v>
      </c>
      <c r="M106">
        <v>32</v>
      </c>
    </row>
    <row r="107" spans="1:13" x14ac:dyDescent="0.25">
      <c r="A107" t="s">
        <v>258</v>
      </c>
      <c r="B107" t="s">
        <v>259</v>
      </c>
      <c r="C107" t="s">
        <v>260</v>
      </c>
      <c r="D107" t="s">
        <v>261</v>
      </c>
      <c r="E107" t="s">
        <v>262</v>
      </c>
      <c r="F107" t="s">
        <v>59</v>
      </c>
      <c r="G107" t="s">
        <v>60</v>
      </c>
      <c r="H107">
        <v>0</v>
      </c>
      <c r="I107">
        <v>4</v>
      </c>
      <c r="J107" t="s">
        <v>20</v>
      </c>
      <c r="K107" t="s">
        <v>257</v>
      </c>
      <c r="L107" t="s">
        <v>22</v>
      </c>
      <c r="M107">
        <v>32</v>
      </c>
    </row>
    <row r="108" spans="1:13" x14ac:dyDescent="0.25">
      <c r="A108" t="s">
        <v>258</v>
      </c>
      <c r="B108" t="s">
        <v>259</v>
      </c>
      <c r="C108" t="s">
        <v>260</v>
      </c>
      <c r="D108" t="s">
        <v>261</v>
      </c>
      <c r="E108" t="s">
        <v>262</v>
      </c>
      <c r="F108" t="s">
        <v>61</v>
      </c>
      <c r="G108" t="s">
        <v>62</v>
      </c>
      <c r="H108">
        <v>5</v>
      </c>
      <c r="I108">
        <v>0</v>
      </c>
      <c r="J108" t="s">
        <v>20</v>
      </c>
      <c r="K108" t="s">
        <v>257</v>
      </c>
      <c r="L108" t="s">
        <v>22</v>
      </c>
      <c r="M108">
        <v>32</v>
      </c>
    </row>
    <row r="109" spans="1:13" x14ac:dyDescent="0.25">
      <c r="A109" t="s">
        <v>258</v>
      </c>
      <c r="B109" t="s">
        <v>259</v>
      </c>
      <c r="C109" t="s">
        <v>260</v>
      </c>
      <c r="D109" t="s">
        <v>261</v>
      </c>
      <c r="E109" t="s">
        <v>262</v>
      </c>
      <c r="F109" t="s">
        <v>171</v>
      </c>
      <c r="G109" t="s">
        <v>172</v>
      </c>
      <c r="H109">
        <v>2</v>
      </c>
      <c r="I109">
        <v>0</v>
      </c>
      <c r="J109" t="s">
        <v>20</v>
      </c>
      <c r="K109" t="s">
        <v>257</v>
      </c>
      <c r="L109" t="s">
        <v>22</v>
      </c>
      <c r="M109">
        <v>32</v>
      </c>
    </row>
    <row r="110" spans="1:13" x14ac:dyDescent="0.25">
      <c r="A110" t="s">
        <v>258</v>
      </c>
      <c r="B110" t="s">
        <v>259</v>
      </c>
      <c r="C110" t="s">
        <v>260</v>
      </c>
      <c r="D110" t="s">
        <v>261</v>
      </c>
      <c r="E110" t="s">
        <v>262</v>
      </c>
      <c r="F110" t="s">
        <v>27</v>
      </c>
      <c r="G110" t="s">
        <v>28</v>
      </c>
      <c r="H110">
        <v>0</v>
      </c>
      <c r="I110">
        <v>1</v>
      </c>
      <c r="J110" t="s">
        <v>20</v>
      </c>
      <c r="K110" t="s">
        <v>257</v>
      </c>
      <c r="L110" t="s">
        <v>22</v>
      </c>
      <c r="M110">
        <v>32</v>
      </c>
    </row>
    <row r="111" spans="1:13" x14ac:dyDescent="0.25">
      <c r="A111" t="s">
        <v>258</v>
      </c>
      <c r="B111" t="s">
        <v>259</v>
      </c>
      <c r="C111" t="s">
        <v>260</v>
      </c>
      <c r="D111" t="s">
        <v>261</v>
      </c>
      <c r="E111" t="s">
        <v>262</v>
      </c>
      <c r="F111" t="s">
        <v>65</v>
      </c>
      <c r="G111" t="s">
        <v>66</v>
      </c>
      <c r="H111">
        <v>0</v>
      </c>
      <c r="I111">
        <v>7</v>
      </c>
      <c r="J111" t="s">
        <v>20</v>
      </c>
      <c r="K111" t="s">
        <v>257</v>
      </c>
      <c r="L111" t="s">
        <v>22</v>
      </c>
      <c r="M111">
        <v>32</v>
      </c>
    </row>
    <row r="112" spans="1:13" x14ac:dyDescent="0.25">
      <c r="A112" t="s">
        <v>258</v>
      </c>
      <c r="B112" t="s">
        <v>259</v>
      </c>
      <c r="C112" t="s">
        <v>260</v>
      </c>
      <c r="D112" t="s">
        <v>261</v>
      </c>
      <c r="E112" t="s">
        <v>262</v>
      </c>
      <c r="F112" t="s">
        <v>29</v>
      </c>
      <c r="G112" t="s">
        <v>30</v>
      </c>
      <c r="H112">
        <v>5</v>
      </c>
      <c r="I112">
        <v>0</v>
      </c>
      <c r="J112" t="s">
        <v>20</v>
      </c>
      <c r="K112" t="s">
        <v>257</v>
      </c>
      <c r="L112" t="s">
        <v>22</v>
      </c>
      <c r="M112">
        <v>32</v>
      </c>
    </row>
    <row r="113" spans="1:13" x14ac:dyDescent="0.25">
      <c r="A113" t="s">
        <v>258</v>
      </c>
      <c r="B113" t="s">
        <v>259</v>
      </c>
      <c r="C113" t="s">
        <v>260</v>
      </c>
      <c r="D113" t="s">
        <v>261</v>
      </c>
      <c r="E113" t="s">
        <v>262</v>
      </c>
      <c r="F113" t="s">
        <v>69</v>
      </c>
      <c r="G113" t="s">
        <v>70</v>
      </c>
      <c r="H113">
        <v>4</v>
      </c>
      <c r="I113">
        <v>0</v>
      </c>
      <c r="J113" t="s">
        <v>20</v>
      </c>
      <c r="K113" t="s">
        <v>257</v>
      </c>
      <c r="L113" t="s">
        <v>22</v>
      </c>
      <c r="M113">
        <v>32</v>
      </c>
    </row>
    <row r="114" spans="1:13" x14ac:dyDescent="0.25">
      <c r="A114" t="s">
        <v>152</v>
      </c>
      <c r="B114" t="s">
        <v>153</v>
      </c>
      <c r="C114" t="s">
        <v>247</v>
      </c>
      <c r="D114" t="s">
        <v>248</v>
      </c>
      <c r="E114" t="s">
        <v>249</v>
      </c>
      <c r="F114" t="s">
        <v>18</v>
      </c>
      <c r="G114" t="s">
        <v>19</v>
      </c>
      <c r="H114">
        <v>0</v>
      </c>
      <c r="I114">
        <v>2</v>
      </c>
      <c r="J114" t="s">
        <v>20</v>
      </c>
      <c r="K114" t="s">
        <v>250</v>
      </c>
      <c r="L114" t="s">
        <v>22</v>
      </c>
      <c r="M114">
        <v>45</v>
      </c>
    </row>
    <row r="115" spans="1:13" x14ac:dyDescent="0.25">
      <c r="A115" t="s">
        <v>152</v>
      </c>
      <c r="B115" t="s">
        <v>153</v>
      </c>
      <c r="C115" t="s">
        <v>247</v>
      </c>
      <c r="D115" t="s">
        <v>248</v>
      </c>
      <c r="E115" t="s">
        <v>249</v>
      </c>
      <c r="F115" t="s">
        <v>45</v>
      </c>
      <c r="G115" t="s">
        <v>46</v>
      </c>
      <c r="H115">
        <v>0</v>
      </c>
      <c r="I115">
        <v>15</v>
      </c>
      <c r="J115" t="s">
        <v>20</v>
      </c>
      <c r="K115" t="s">
        <v>250</v>
      </c>
      <c r="L115" t="s">
        <v>22</v>
      </c>
      <c r="M115">
        <v>45</v>
      </c>
    </row>
    <row r="116" spans="1:13" x14ac:dyDescent="0.25">
      <c r="A116" t="s">
        <v>152</v>
      </c>
      <c r="B116" t="s">
        <v>153</v>
      </c>
      <c r="C116" t="s">
        <v>247</v>
      </c>
      <c r="D116" t="s">
        <v>248</v>
      </c>
      <c r="E116" t="s">
        <v>249</v>
      </c>
      <c r="F116" t="s">
        <v>49</v>
      </c>
      <c r="G116" t="s">
        <v>50</v>
      </c>
      <c r="H116">
        <v>0</v>
      </c>
      <c r="I116">
        <v>3</v>
      </c>
      <c r="J116" t="s">
        <v>20</v>
      </c>
      <c r="K116" t="s">
        <v>250</v>
      </c>
      <c r="L116" t="s">
        <v>22</v>
      </c>
      <c r="M116">
        <v>45</v>
      </c>
    </row>
    <row r="117" spans="1:13" x14ac:dyDescent="0.25">
      <c r="A117" t="s">
        <v>152</v>
      </c>
      <c r="B117" t="s">
        <v>153</v>
      </c>
      <c r="C117" t="s">
        <v>247</v>
      </c>
      <c r="D117" t="s">
        <v>248</v>
      </c>
      <c r="E117" t="s">
        <v>249</v>
      </c>
      <c r="F117" t="s">
        <v>51</v>
      </c>
      <c r="G117" t="s">
        <v>52</v>
      </c>
      <c r="H117">
        <v>0</v>
      </c>
      <c r="I117">
        <v>6</v>
      </c>
      <c r="J117" t="s">
        <v>20</v>
      </c>
      <c r="K117" t="s">
        <v>250</v>
      </c>
      <c r="L117" t="s">
        <v>22</v>
      </c>
      <c r="M117">
        <v>45</v>
      </c>
    </row>
    <row r="118" spans="1:13" x14ac:dyDescent="0.25">
      <c r="A118" t="s">
        <v>152</v>
      </c>
      <c r="B118" t="s">
        <v>153</v>
      </c>
      <c r="C118" t="s">
        <v>247</v>
      </c>
      <c r="D118" t="s">
        <v>248</v>
      </c>
      <c r="E118" t="s">
        <v>249</v>
      </c>
      <c r="F118" t="s">
        <v>53</v>
      </c>
      <c r="G118" t="s">
        <v>54</v>
      </c>
      <c r="H118">
        <v>0</v>
      </c>
      <c r="I118">
        <v>1</v>
      </c>
      <c r="J118" t="s">
        <v>20</v>
      </c>
      <c r="K118" t="s">
        <v>250</v>
      </c>
      <c r="L118" t="s">
        <v>22</v>
      </c>
      <c r="M118">
        <v>45</v>
      </c>
    </row>
    <row r="119" spans="1:13" x14ac:dyDescent="0.25">
      <c r="A119" t="s">
        <v>152</v>
      </c>
      <c r="B119" t="s">
        <v>153</v>
      </c>
      <c r="C119" t="s">
        <v>247</v>
      </c>
      <c r="D119" t="s">
        <v>248</v>
      </c>
      <c r="E119" t="s">
        <v>249</v>
      </c>
      <c r="F119" t="s">
        <v>55</v>
      </c>
      <c r="G119" t="s">
        <v>56</v>
      </c>
      <c r="H119">
        <v>0</v>
      </c>
      <c r="I119">
        <v>1</v>
      </c>
      <c r="J119" t="s">
        <v>20</v>
      </c>
      <c r="K119" t="s">
        <v>250</v>
      </c>
      <c r="L119" t="s">
        <v>22</v>
      </c>
      <c r="M119">
        <v>45</v>
      </c>
    </row>
    <row r="120" spans="1:13" x14ac:dyDescent="0.25">
      <c r="A120" t="s">
        <v>152</v>
      </c>
      <c r="B120" t="s">
        <v>153</v>
      </c>
      <c r="C120" t="s">
        <v>247</v>
      </c>
      <c r="D120" t="s">
        <v>248</v>
      </c>
      <c r="E120" t="s">
        <v>249</v>
      </c>
      <c r="F120" t="s">
        <v>59</v>
      </c>
      <c r="G120" t="s">
        <v>60</v>
      </c>
      <c r="H120">
        <v>0</v>
      </c>
      <c r="I120">
        <v>3</v>
      </c>
      <c r="J120" t="s">
        <v>20</v>
      </c>
      <c r="K120" t="s">
        <v>250</v>
      </c>
      <c r="L120" t="s">
        <v>22</v>
      </c>
      <c r="M120">
        <v>45</v>
      </c>
    </row>
    <row r="121" spans="1:13" x14ac:dyDescent="0.25">
      <c r="A121" t="s">
        <v>152</v>
      </c>
      <c r="B121" t="s">
        <v>153</v>
      </c>
      <c r="C121" t="s">
        <v>247</v>
      </c>
      <c r="D121" t="s">
        <v>248</v>
      </c>
      <c r="E121" t="s">
        <v>249</v>
      </c>
      <c r="F121" t="s">
        <v>25</v>
      </c>
      <c r="G121" t="s">
        <v>26</v>
      </c>
      <c r="H121">
        <v>0</v>
      </c>
      <c r="I121">
        <v>1</v>
      </c>
      <c r="J121" t="s">
        <v>20</v>
      </c>
      <c r="K121" t="s">
        <v>250</v>
      </c>
      <c r="L121" t="s">
        <v>22</v>
      </c>
      <c r="M121">
        <v>45</v>
      </c>
    </row>
    <row r="122" spans="1:13" x14ac:dyDescent="0.25">
      <c r="A122" t="s">
        <v>152</v>
      </c>
      <c r="B122" t="s">
        <v>153</v>
      </c>
      <c r="C122" t="s">
        <v>247</v>
      </c>
      <c r="D122" t="s">
        <v>248</v>
      </c>
      <c r="E122" t="s">
        <v>249</v>
      </c>
      <c r="F122" t="s">
        <v>27</v>
      </c>
      <c r="G122" t="s">
        <v>28</v>
      </c>
      <c r="H122">
        <v>0</v>
      </c>
      <c r="I122">
        <v>1</v>
      </c>
      <c r="J122" t="s">
        <v>20</v>
      </c>
      <c r="K122" t="s">
        <v>250</v>
      </c>
      <c r="L122" t="s">
        <v>22</v>
      </c>
      <c r="M122">
        <v>45</v>
      </c>
    </row>
    <row r="123" spans="1:13" x14ac:dyDescent="0.25">
      <c r="A123" t="s">
        <v>152</v>
      </c>
      <c r="B123" t="s">
        <v>153</v>
      </c>
      <c r="C123" t="s">
        <v>247</v>
      </c>
      <c r="D123" t="s">
        <v>248</v>
      </c>
      <c r="E123" t="s">
        <v>249</v>
      </c>
      <c r="F123" t="s">
        <v>65</v>
      </c>
      <c r="G123" t="s">
        <v>66</v>
      </c>
      <c r="H123">
        <v>0</v>
      </c>
      <c r="I123">
        <v>8</v>
      </c>
      <c r="J123" t="s">
        <v>20</v>
      </c>
      <c r="K123" t="s">
        <v>250</v>
      </c>
      <c r="L123" t="s">
        <v>22</v>
      </c>
      <c r="M123">
        <v>45</v>
      </c>
    </row>
    <row r="124" spans="1:13" x14ac:dyDescent="0.25">
      <c r="A124" t="s">
        <v>152</v>
      </c>
      <c r="B124" t="s">
        <v>153</v>
      </c>
      <c r="C124" t="s">
        <v>247</v>
      </c>
      <c r="D124" t="s">
        <v>248</v>
      </c>
      <c r="E124" t="s">
        <v>249</v>
      </c>
      <c r="F124" t="s">
        <v>29</v>
      </c>
      <c r="G124" t="s">
        <v>30</v>
      </c>
      <c r="H124">
        <v>0</v>
      </c>
      <c r="I124">
        <v>1</v>
      </c>
      <c r="J124" t="s">
        <v>20</v>
      </c>
      <c r="K124" t="s">
        <v>250</v>
      </c>
      <c r="L124" t="s">
        <v>22</v>
      </c>
      <c r="M124">
        <v>45</v>
      </c>
    </row>
    <row r="125" spans="1:13" x14ac:dyDescent="0.25">
      <c r="A125" t="s">
        <v>152</v>
      </c>
      <c r="B125" t="s">
        <v>153</v>
      </c>
      <c r="C125" t="s">
        <v>247</v>
      </c>
      <c r="D125" t="s">
        <v>248</v>
      </c>
      <c r="E125" t="s">
        <v>249</v>
      </c>
      <c r="F125" t="s">
        <v>71</v>
      </c>
      <c r="G125" t="s">
        <v>72</v>
      </c>
      <c r="H125">
        <v>0</v>
      </c>
      <c r="I125">
        <v>2</v>
      </c>
      <c r="J125" t="s">
        <v>20</v>
      </c>
      <c r="K125" t="s">
        <v>250</v>
      </c>
      <c r="L125" t="s">
        <v>22</v>
      </c>
      <c r="M125">
        <v>45</v>
      </c>
    </row>
    <row r="126" spans="1:13" x14ac:dyDescent="0.25">
      <c r="A126" t="s">
        <v>13</v>
      </c>
      <c r="B126" t="s">
        <v>14</v>
      </c>
      <c r="C126" t="s">
        <v>251</v>
      </c>
      <c r="D126" t="s">
        <v>252</v>
      </c>
      <c r="E126" t="s">
        <v>253</v>
      </c>
      <c r="F126" t="s">
        <v>18</v>
      </c>
      <c r="G126" t="s">
        <v>19</v>
      </c>
      <c r="H126">
        <v>0</v>
      </c>
      <c r="I126">
        <v>1</v>
      </c>
      <c r="J126" t="s">
        <v>20</v>
      </c>
      <c r="K126" t="s">
        <v>250</v>
      </c>
      <c r="L126" t="s">
        <v>22</v>
      </c>
      <c r="M126">
        <v>42</v>
      </c>
    </row>
    <row r="127" spans="1:13" x14ac:dyDescent="0.25">
      <c r="A127" t="s">
        <v>13</v>
      </c>
      <c r="B127" t="s">
        <v>14</v>
      </c>
      <c r="C127" t="s">
        <v>251</v>
      </c>
      <c r="D127" t="s">
        <v>252</v>
      </c>
      <c r="E127" t="s">
        <v>253</v>
      </c>
      <c r="F127" t="s">
        <v>45</v>
      </c>
      <c r="G127" t="s">
        <v>46</v>
      </c>
      <c r="H127">
        <v>0</v>
      </c>
      <c r="I127">
        <v>1</v>
      </c>
      <c r="J127" t="s">
        <v>20</v>
      </c>
      <c r="K127" t="s">
        <v>250</v>
      </c>
      <c r="L127" t="s">
        <v>22</v>
      </c>
      <c r="M127">
        <v>42</v>
      </c>
    </row>
    <row r="128" spans="1:13" x14ac:dyDescent="0.25">
      <c r="A128" t="s">
        <v>13</v>
      </c>
      <c r="B128" t="s">
        <v>14</v>
      </c>
      <c r="C128" t="s">
        <v>251</v>
      </c>
      <c r="D128" t="s">
        <v>252</v>
      </c>
      <c r="E128" t="s">
        <v>253</v>
      </c>
      <c r="F128" t="s">
        <v>23</v>
      </c>
      <c r="G128" t="s">
        <v>24</v>
      </c>
      <c r="H128">
        <v>0</v>
      </c>
      <c r="I128">
        <v>1</v>
      </c>
      <c r="J128" t="s">
        <v>20</v>
      </c>
      <c r="K128" t="s">
        <v>250</v>
      </c>
      <c r="L128" t="s">
        <v>22</v>
      </c>
      <c r="M128">
        <v>42</v>
      </c>
    </row>
    <row r="129" spans="1:13" x14ac:dyDescent="0.25">
      <c r="A129" t="s">
        <v>13</v>
      </c>
      <c r="B129" t="s">
        <v>14</v>
      </c>
      <c r="C129" t="s">
        <v>251</v>
      </c>
      <c r="D129" t="s">
        <v>252</v>
      </c>
      <c r="E129" t="s">
        <v>253</v>
      </c>
      <c r="F129" t="s">
        <v>59</v>
      </c>
      <c r="G129" t="s">
        <v>60</v>
      </c>
      <c r="H129">
        <v>0</v>
      </c>
      <c r="I129">
        <v>2</v>
      </c>
      <c r="J129" t="s">
        <v>20</v>
      </c>
      <c r="K129" t="s">
        <v>250</v>
      </c>
      <c r="L129" t="s">
        <v>22</v>
      </c>
      <c r="M129">
        <v>42</v>
      </c>
    </row>
    <row r="130" spans="1:13" x14ac:dyDescent="0.25">
      <c r="A130" t="s">
        <v>13</v>
      </c>
      <c r="B130" t="s">
        <v>14</v>
      </c>
      <c r="C130" t="s">
        <v>251</v>
      </c>
      <c r="D130" t="s">
        <v>252</v>
      </c>
      <c r="E130" t="s">
        <v>253</v>
      </c>
      <c r="F130" t="s">
        <v>27</v>
      </c>
      <c r="G130" t="s">
        <v>28</v>
      </c>
      <c r="H130">
        <v>0</v>
      </c>
      <c r="I130">
        <v>1</v>
      </c>
      <c r="J130" t="s">
        <v>20</v>
      </c>
      <c r="K130" t="s">
        <v>250</v>
      </c>
      <c r="L130" t="s">
        <v>22</v>
      </c>
      <c r="M130">
        <v>42</v>
      </c>
    </row>
    <row r="131" spans="1:13" x14ac:dyDescent="0.25">
      <c r="A131" t="s">
        <v>13</v>
      </c>
      <c r="B131" t="s">
        <v>14</v>
      </c>
      <c r="C131" t="s">
        <v>251</v>
      </c>
      <c r="D131" t="s">
        <v>252</v>
      </c>
      <c r="E131" t="s">
        <v>253</v>
      </c>
      <c r="F131" t="s">
        <v>65</v>
      </c>
      <c r="G131" t="s">
        <v>66</v>
      </c>
      <c r="H131">
        <v>0</v>
      </c>
      <c r="I131">
        <v>1</v>
      </c>
      <c r="J131" t="s">
        <v>20</v>
      </c>
      <c r="K131" t="s">
        <v>250</v>
      </c>
      <c r="L131" t="s">
        <v>22</v>
      </c>
      <c r="M131">
        <v>42</v>
      </c>
    </row>
    <row r="132" spans="1:13" x14ac:dyDescent="0.25">
      <c r="A132" t="s">
        <v>13</v>
      </c>
      <c r="B132" t="s">
        <v>14</v>
      </c>
      <c r="C132" t="s">
        <v>251</v>
      </c>
      <c r="D132" t="s">
        <v>252</v>
      </c>
      <c r="E132" t="s">
        <v>253</v>
      </c>
      <c r="F132" t="s">
        <v>29</v>
      </c>
      <c r="G132" t="s">
        <v>30</v>
      </c>
      <c r="H132">
        <v>0</v>
      </c>
      <c r="I132">
        <v>1</v>
      </c>
      <c r="J132" t="s">
        <v>20</v>
      </c>
      <c r="K132" t="s">
        <v>250</v>
      </c>
      <c r="L132" t="s">
        <v>22</v>
      </c>
      <c r="M132">
        <v>42</v>
      </c>
    </row>
    <row r="133" spans="1:13" x14ac:dyDescent="0.25">
      <c r="A133" t="s">
        <v>13</v>
      </c>
      <c r="B133" t="s">
        <v>14</v>
      </c>
      <c r="C133" t="s">
        <v>251</v>
      </c>
      <c r="D133" t="s">
        <v>252</v>
      </c>
      <c r="E133" t="s">
        <v>253</v>
      </c>
      <c r="F133" t="s">
        <v>71</v>
      </c>
      <c r="G133" t="s">
        <v>72</v>
      </c>
      <c r="H133">
        <v>0</v>
      </c>
      <c r="I133">
        <v>1</v>
      </c>
      <c r="J133" t="s">
        <v>20</v>
      </c>
      <c r="K133" t="s">
        <v>250</v>
      </c>
      <c r="L133" t="s">
        <v>22</v>
      </c>
      <c r="M133">
        <v>42</v>
      </c>
    </row>
    <row r="134" spans="1:13" x14ac:dyDescent="0.25">
      <c r="A134" t="s">
        <v>83</v>
      </c>
      <c r="B134" t="s">
        <v>84</v>
      </c>
      <c r="C134" t="s">
        <v>240</v>
      </c>
      <c r="D134" t="s">
        <v>241</v>
      </c>
      <c r="E134" t="s">
        <v>242</v>
      </c>
      <c r="F134" t="s">
        <v>18</v>
      </c>
      <c r="G134" t="s">
        <v>19</v>
      </c>
      <c r="H134">
        <v>0</v>
      </c>
      <c r="I134">
        <v>1</v>
      </c>
      <c r="J134" t="s">
        <v>94</v>
      </c>
      <c r="K134" t="s">
        <v>243</v>
      </c>
      <c r="L134" t="s">
        <v>22</v>
      </c>
      <c r="M134">
        <v>28</v>
      </c>
    </row>
    <row r="135" spans="1:13" x14ac:dyDescent="0.25">
      <c r="A135" t="s">
        <v>83</v>
      </c>
      <c r="B135" t="s">
        <v>84</v>
      </c>
      <c r="C135" t="s">
        <v>240</v>
      </c>
      <c r="D135" t="s">
        <v>241</v>
      </c>
      <c r="E135" t="s">
        <v>242</v>
      </c>
      <c r="F135" t="s">
        <v>39</v>
      </c>
      <c r="G135" t="s">
        <v>40</v>
      </c>
      <c r="H135">
        <v>0</v>
      </c>
      <c r="I135">
        <v>1</v>
      </c>
      <c r="J135" t="s">
        <v>94</v>
      </c>
      <c r="K135" t="s">
        <v>243</v>
      </c>
      <c r="L135" t="s">
        <v>22</v>
      </c>
      <c r="M135">
        <v>28</v>
      </c>
    </row>
    <row r="136" spans="1:13" x14ac:dyDescent="0.25">
      <c r="A136" t="s">
        <v>83</v>
      </c>
      <c r="B136" t="s">
        <v>84</v>
      </c>
      <c r="C136" t="s">
        <v>240</v>
      </c>
      <c r="D136" t="s">
        <v>241</v>
      </c>
      <c r="E136" t="s">
        <v>242</v>
      </c>
      <c r="F136" t="s">
        <v>47</v>
      </c>
      <c r="G136" t="s">
        <v>48</v>
      </c>
      <c r="H136">
        <v>0</v>
      </c>
      <c r="I136">
        <v>1</v>
      </c>
      <c r="J136" t="s">
        <v>94</v>
      </c>
      <c r="K136" t="s">
        <v>243</v>
      </c>
      <c r="L136" t="s">
        <v>22</v>
      </c>
      <c r="M136">
        <v>28</v>
      </c>
    </row>
    <row r="137" spans="1:13" x14ac:dyDescent="0.25">
      <c r="A137" t="s">
        <v>83</v>
      </c>
      <c r="B137" t="s">
        <v>84</v>
      </c>
      <c r="C137" t="s">
        <v>240</v>
      </c>
      <c r="D137" t="s">
        <v>241</v>
      </c>
      <c r="E137" t="s">
        <v>242</v>
      </c>
      <c r="F137" t="s">
        <v>49</v>
      </c>
      <c r="G137" t="s">
        <v>50</v>
      </c>
      <c r="H137">
        <v>5</v>
      </c>
      <c r="I137">
        <v>0</v>
      </c>
      <c r="J137" t="s">
        <v>94</v>
      </c>
      <c r="K137" t="s">
        <v>243</v>
      </c>
      <c r="L137" t="s">
        <v>22</v>
      </c>
      <c r="M137">
        <v>28</v>
      </c>
    </row>
    <row r="138" spans="1:13" x14ac:dyDescent="0.25">
      <c r="A138" t="s">
        <v>83</v>
      </c>
      <c r="B138" t="s">
        <v>84</v>
      </c>
      <c r="C138" t="s">
        <v>240</v>
      </c>
      <c r="D138" t="s">
        <v>241</v>
      </c>
      <c r="E138" t="s">
        <v>242</v>
      </c>
      <c r="F138" t="s">
        <v>51</v>
      </c>
      <c r="G138" t="s">
        <v>52</v>
      </c>
      <c r="H138">
        <v>0</v>
      </c>
      <c r="I138">
        <v>5</v>
      </c>
      <c r="J138" t="s">
        <v>94</v>
      </c>
      <c r="K138" t="s">
        <v>243</v>
      </c>
      <c r="L138" t="s">
        <v>22</v>
      </c>
      <c r="M138">
        <v>28</v>
      </c>
    </row>
    <row r="139" spans="1:13" x14ac:dyDescent="0.25">
      <c r="A139" t="s">
        <v>83</v>
      </c>
      <c r="B139" t="s">
        <v>84</v>
      </c>
      <c r="C139" t="s">
        <v>240</v>
      </c>
      <c r="D139" t="s">
        <v>241</v>
      </c>
      <c r="E139" t="s">
        <v>242</v>
      </c>
      <c r="F139" t="s">
        <v>53</v>
      </c>
      <c r="G139" t="s">
        <v>54</v>
      </c>
      <c r="H139">
        <v>5</v>
      </c>
      <c r="I139">
        <v>0</v>
      </c>
      <c r="J139" t="s">
        <v>94</v>
      </c>
      <c r="K139" t="s">
        <v>243</v>
      </c>
      <c r="L139" t="s">
        <v>22</v>
      </c>
      <c r="M139">
        <v>28</v>
      </c>
    </row>
    <row r="140" spans="1:13" x14ac:dyDescent="0.25">
      <c r="A140" t="s">
        <v>83</v>
      </c>
      <c r="B140" t="s">
        <v>84</v>
      </c>
      <c r="C140" t="s">
        <v>240</v>
      </c>
      <c r="D140" t="s">
        <v>241</v>
      </c>
      <c r="E140" t="s">
        <v>242</v>
      </c>
      <c r="F140" t="s">
        <v>55</v>
      </c>
      <c r="G140" t="s">
        <v>56</v>
      </c>
      <c r="H140">
        <v>0</v>
      </c>
      <c r="I140">
        <v>1</v>
      </c>
      <c r="J140" t="s">
        <v>94</v>
      </c>
      <c r="K140" t="s">
        <v>243</v>
      </c>
      <c r="L140" t="s">
        <v>22</v>
      </c>
      <c r="M140">
        <v>28</v>
      </c>
    </row>
    <row r="141" spans="1:13" x14ac:dyDescent="0.25">
      <c r="A141" t="s">
        <v>83</v>
      </c>
      <c r="B141" t="s">
        <v>84</v>
      </c>
      <c r="C141" t="s">
        <v>240</v>
      </c>
      <c r="D141" t="s">
        <v>241</v>
      </c>
      <c r="E141" t="s">
        <v>242</v>
      </c>
      <c r="F141" t="s">
        <v>59</v>
      </c>
      <c r="G141" t="s">
        <v>60</v>
      </c>
      <c r="H141">
        <v>0</v>
      </c>
      <c r="I141">
        <v>4</v>
      </c>
      <c r="J141" t="s">
        <v>94</v>
      </c>
      <c r="K141" t="s">
        <v>243</v>
      </c>
      <c r="L141" t="s">
        <v>22</v>
      </c>
      <c r="M141">
        <v>28</v>
      </c>
    </row>
    <row r="142" spans="1:13" x14ac:dyDescent="0.25">
      <c r="A142" t="s">
        <v>83</v>
      </c>
      <c r="B142" t="s">
        <v>84</v>
      </c>
      <c r="C142" t="s">
        <v>240</v>
      </c>
      <c r="D142" t="s">
        <v>241</v>
      </c>
      <c r="E142" t="s">
        <v>242</v>
      </c>
      <c r="F142" t="s">
        <v>61</v>
      </c>
      <c r="G142" t="s">
        <v>62</v>
      </c>
      <c r="H142">
        <v>0</v>
      </c>
      <c r="I142">
        <v>1</v>
      </c>
      <c r="J142" t="s">
        <v>94</v>
      </c>
      <c r="K142" t="s">
        <v>243</v>
      </c>
      <c r="L142" t="s">
        <v>22</v>
      </c>
      <c r="M142">
        <v>28</v>
      </c>
    </row>
    <row r="143" spans="1:13" x14ac:dyDescent="0.25">
      <c r="A143" t="s">
        <v>83</v>
      </c>
      <c r="B143" t="s">
        <v>84</v>
      </c>
      <c r="C143" t="s">
        <v>240</v>
      </c>
      <c r="D143" t="s">
        <v>241</v>
      </c>
      <c r="E143" t="s">
        <v>242</v>
      </c>
      <c r="F143" t="s">
        <v>65</v>
      </c>
      <c r="G143" t="s">
        <v>66</v>
      </c>
      <c r="H143">
        <v>0</v>
      </c>
      <c r="I143">
        <v>5</v>
      </c>
      <c r="J143" t="s">
        <v>94</v>
      </c>
      <c r="K143" t="s">
        <v>243</v>
      </c>
      <c r="L143" t="s">
        <v>22</v>
      </c>
      <c r="M143">
        <v>28</v>
      </c>
    </row>
    <row r="144" spans="1:13" x14ac:dyDescent="0.25">
      <c r="A144" t="s">
        <v>89</v>
      </c>
      <c r="B144" t="s">
        <v>90</v>
      </c>
      <c r="C144" t="s">
        <v>244</v>
      </c>
      <c r="D144" t="s">
        <v>245</v>
      </c>
      <c r="E144" t="s">
        <v>246</v>
      </c>
      <c r="F144" t="s">
        <v>45</v>
      </c>
      <c r="G144" t="s">
        <v>46</v>
      </c>
      <c r="H144">
        <v>0</v>
      </c>
      <c r="I144">
        <v>3</v>
      </c>
      <c r="J144" t="s">
        <v>94</v>
      </c>
      <c r="K144" t="s">
        <v>243</v>
      </c>
      <c r="L144" t="s">
        <v>22</v>
      </c>
      <c r="M144">
        <v>33</v>
      </c>
    </row>
    <row r="145" spans="1:13" x14ac:dyDescent="0.25">
      <c r="A145" t="s">
        <v>89</v>
      </c>
      <c r="B145" t="s">
        <v>90</v>
      </c>
      <c r="C145" t="s">
        <v>244</v>
      </c>
      <c r="D145" t="s">
        <v>245</v>
      </c>
      <c r="E145" t="s">
        <v>246</v>
      </c>
      <c r="F145" t="s">
        <v>65</v>
      </c>
      <c r="G145" t="s">
        <v>66</v>
      </c>
      <c r="H145">
        <v>0</v>
      </c>
      <c r="I145">
        <v>1</v>
      </c>
      <c r="J145" t="s">
        <v>94</v>
      </c>
      <c r="K145" t="s">
        <v>243</v>
      </c>
      <c r="L145" t="s">
        <v>22</v>
      </c>
      <c r="M145">
        <v>33</v>
      </c>
    </row>
    <row r="146" spans="1:13" x14ac:dyDescent="0.25">
      <c r="A146" t="s">
        <v>89</v>
      </c>
      <c r="B146" t="s">
        <v>90</v>
      </c>
      <c r="C146" t="s">
        <v>233</v>
      </c>
      <c r="D146" t="s">
        <v>234</v>
      </c>
      <c r="E146" t="s">
        <v>235</v>
      </c>
      <c r="F146" t="s">
        <v>18</v>
      </c>
      <c r="G146" t="s">
        <v>19</v>
      </c>
      <c r="H146">
        <v>0</v>
      </c>
      <c r="I146">
        <v>3</v>
      </c>
      <c r="J146" t="s">
        <v>101</v>
      </c>
      <c r="K146" t="s">
        <v>236</v>
      </c>
      <c r="L146" t="s">
        <v>22</v>
      </c>
      <c r="M146">
        <v>26</v>
      </c>
    </row>
    <row r="147" spans="1:13" x14ac:dyDescent="0.25">
      <c r="A147" t="s">
        <v>89</v>
      </c>
      <c r="B147" t="s">
        <v>90</v>
      </c>
      <c r="C147" t="s">
        <v>233</v>
      </c>
      <c r="D147" t="s">
        <v>234</v>
      </c>
      <c r="E147" t="s">
        <v>235</v>
      </c>
      <c r="F147" t="s">
        <v>45</v>
      </c>
      <c r="G147" t="s">
        <v>46</v>
      </c>
      <c r="H147">
        <v>0</v>
      </c>
      <c r="I147">
        <v>18</v>
      </c>
      <c r="J147" t="s">
        <v>101</v>
      </c>
      <c r="K147" t="s">
        <v>236</v>
      </c>
      <c r="L147" t="s">
        <v>22</v>
      </c>
      <c r="M147">
        <v>26</v>
      </c>
    </row>
    <row r="148" spans="1:13" x14ac:dyDescent="0.25">
      <c r="A148" t="s">
        <v>89</v>
      </c>
      <c r="B148" t="s">
        <v>90</v>
      </c>
      <c r="C148" t="s">
        <v>233</v>
      </c>
      <c r="D148" t="s">
        <v>234</v>
      </c>
      <c r="E148" t="s">
        <v>235</v>
      </c>
      <c r="F148" t="s">
        <v>47</v>
      </c>
      <c r="G148" t="s">
        <v>48</v>
      </c>
      <c r="H148">
        <v>0</v>
      </c>
      <c r="I148">
        <v>1</v>
      </c>
      <c r="J148" t="s">
        <v>101</v>
      </c>
      <c r="K148" t="s">
        <v>236</v>
      </c>
      <c r="L148" t="s">
        <v>22</v>
      </c>
      <c r="M148">
        <v>26</v>
      </c>
    </row>
    <row r="149" spans="1:13" x14ac:dyDescent="0.25">
      <c r="A149" t="s">
        <v>89</v>
      </c>
      <c r="B149" t="s">
        <v>90</v>
      </c>
      <c r="C149" t="s">
        <v>233</v>
      </c>
      <c r="D149" t="s">
        <v>234</v>
      </c>
      <c r="E149" t="s">
        <v>235</v>
      </c>
      <c r="F149" t="s">
        <v>51</v>
      </c>
      <c r="G149" t="s">
        <v>52</v>
      </c>
      <c r="H149">
        <v>0</v>
      </c>
      <c r="I149">
        <v>6</v>
      </c>
      <c r="J149" t="s">
        <v>101</v>
      </c>
      <c r="K149" t="s">
        <v>236</v>
      </c>
      <c r="L149" t="s">
        <v>22</v>
      </c>
      <c r="M149">
        <v>26</v>
      </c>
    </row>
    <row r="150" spans="1:13" x14ac:dyDescent="0.25">
      <c r="A150" t="s">
        <v>89</v>
      </c>
      <c r="B150" t="s">
        <v>90</v>
      </c>
      <c r="C150" t="s">
        <v>233</v>
      </c>
      <c r="D150" t="s">
        <v>234</v>
      </c>
      <c r="E150" t="s">
        <v>235</v>
      </c>
      <c r="F150" t="s">
        <v>59</v>
      </c>
      <c r="G150" t="s">
        <v>60</v>
      </c>
      <c r="H150">
        <v>0</v>
      </c>
      <c r="I150">
        <v>3</v>
      </c>
      <c r="J150" t="s">
        <v>101</v>
      </c>
      <c r="K150" t="s">
        <v>236</v>
      </c>
      <c r="L150" t="s">
        <v>22</v>
      </c>
      <c r="M150">
        <v>26</v>
      </c>
    </row>
    <row r="151" spans="1:13" x14ac:dyDescent="0.25">
      <c r="A151" t="s">
        <v>89</v>
      </c>
      <c r="B151" t="s">
        <v>90</v>
      </c>
      <c r="C151" t="s">
        <v>233</v>
      </c>
      <c r="D151" t="s">
        <v>234</v>
      </c>
      <c r="E151" t="s">
        <v>235</v>
      </c>
      <c r="F151" t="s">
        <v>61</v>
      </c>
      <c r="G151" t="s">
        <v>62</v>
      </c>
      <c r="H151">
        <v>0</v>
      </c>
      <c r="I151">
        <v>1</v>
      </c>
      <c r="J151" t="s">
        <v>101</v>
      </c>
      <c r="K151" t="s">
        <v>236</v>
      </c>
      <c r="L151" t="s">
        <v>22</v>
      </c>
      <c r="M151">
        <v>26</v>
      </c>
    </row>
    <row r="152" spans="1:13" x14ac:dyDescent="0.25">
      <c r="A152" t="s">
        <v>89</v>
      </c>
      <c r="B152" t="s">
        <v>90</v>
      </c>
      <c r="C152" t="s">
        <v>233</v>
      </c>
      <c r="D152" t="s">
        <v>234</v>
      </c>
      <c r="E152" t="s">
        <v>235</v>
      </c>
      <c r="F152" t="s">
        <v>63</v>
      </c>
      <c r="G152" t="s">
        <v>64</v>
      </c>
      <c r="H152">
        <v>0</v>
      </c>
      <c r="I152">
        <v>1</v>
      </c>
      <c r="J152" t="s">
        <v>101</v>
      </c>
      <c r="K152" t="s">
        <v>236</v>
      </c>
      <c r="L152" t="s">
        <v>22</v>
      </c>
      <c r="M152">
        <v>26</v>
      </c>
    </row>
    <row r="153" spans="1:13" x14ac:dyDescent="0.25">
      <c r="A153" t="s">
        <v>89</v>
      </c>
      <c r="B153" t="s">
        <v>90</v>
      </c>
      <c r="C153" t="s">
        <v>233</v>
      </c>
      <c r="D153" t="s">
        <v>234</v>
      </c>
      <c r="E153" t="s">
        <v>235</v>
      </c>
      <c r="F153" t="s">
        <v>27</v>
      </c>
      <c r="G153" t="s">
        <v>28</v>
      </c>
      <c r="H153">
        <v>0</v>
      </c>
      <c r="I153">
        <v>1</v>
      </c>
      <c r="J153" t="s">
        <v>101</v>
      </c>
      <c r="K153" t="s">
        <v>236</v>
      </c>
      <c r="L153" t="s">
        <v>22</v>
      </c>
      <c r="M153">
        <v>26</v>
      </c>
    </row>
    <row r="154" spans="1:13" x14ac:dyDescent="0.25">
      <c r="A154" t="s">
        <v>89</v>
      </c>
      <c r="B154" t="s">
        <v>90</v>
      </c>
      <c r="C154" t="s">
        <v>233</v>
      </c>
      <c r="D154" t="s">
        <v>234</v>
      </c>
      <c r="E154" t="s">
        <v>235</v>
      </c>
      <c r="F154" t="s">
        <v>65</v>
      </c>
      <c r="G154" t="s">
        <v>66</v>
      </c>
      <c r="H154">
        <v>0</v>
      </c>
      <c r="I154">
        <v>6</v>
      </c>
      <c r="J154" t="s">
        <v>101</v>
      </c>
      <c r="K154" t="s">
        <v>236</v>
      </c>
      <c r="L154" t="s">
        <v>22</v>
      </c>
      <c r="M154">
        <v>26</v>
      </c>
    </row>
    <row r="155" spans="1:13" x14ac:dyDescent="0.25">
      <c r="A155" t="s">
        <v>89</v>
      </c>
      <c r="B155" t="s">
        <v>90</v>
      </c>
      <c r="C155" t="s">
        <v>233</v>
      </c>
      <c r="D155" t="s">
        <v>234</v>
      </c>
      <c r="E155" t="s">
        <v>235</v>
      </c>
      <c r="F155" t="s">
        <v>29</v>
      </c>
      <c r="G155" t="s">
        <v>30</v>
      </c>
      <c r="H155">
        <v>0</v>
      </c>
      <c r="I155">
        <v>1</v>
      </c>
      <c r="J155" t="s">
        <v>101</v>
      </c>
      <c r="K155" t="s">
        <v>236</v>
      </c>
      <c r="L155" t="s">
        <v>22</v>
      </c>
      <c r="M155">
        <v>26</v>
      </c>
    </row>
    <row r="156" spans="1:13" x14ac:dyDescent="0.25">
      <c r="A156" t="s">
        <v>89</v>
      </c>
      <c r="B156" t="s">
        <v>90</v>
      </c>
      <c r="C156" t="s">
        <v>233</v>
      </c>
      <c r="D156" t="s">
        <v>234</v>
      </c>
      <c r="E156" t="s">
        <v>235</v>
      </c>
      <c r="F156" t="s">
        <v>69</v>
      </c>
      <c r="G156" t="s">
        <v>70</v>
      </c>
      <c r="H156">
        <v>6</v>
      </c>
      <c r="I156">
        <v>0</v>
      </c>
      <c r="J156" t="s">
        <v>101</v>
      </c>
      <c r="K156" t="s">
        <v>236</v>
      </c>
      <c r="L156" t="s">
        <v>22</v>
      </c>
      <c r="M156">
        <v>26</v>
      </c>
    </row>
    <row r="157" spans="1:13" x14ac:dyDescent="0.25">
      <c r="A157" t="s">
        <v>33</v>
      </c>
      <c r="B157" t="s">
        <v>34</v>
      </c>
      <c r="C157" t="s">
        <v>237</v>
      </c>
      <c r="D157" t="s">
        <v>238</v>
      </c>
      <c r="E157" t="s">
        <v>239</v>
      </c>
      <c r="F157" t="s">
        <v>18</v>
      </c>
      <c r="G157" t="s">
        <v>19</v>
      </c>
      <c r="H157">
        <v>0</v>
      </c>
      <c r="I157">
        <v>2</v>
      </c>
      <c r="J157" t="s">
        <v>94</v>
      </c>
      <c r="K157" t="s">
        <v>236</v>
      </c>
      <c r="L157" t="s">
        <v>22</v>
      </c>
      <c r="M157">
        <v>27</v>
      </c>
    </row>
    <row r="158" spans="1:13" x14ac:dyDescent="0.25">
      <c r="A158" t="s">
        <v>33</v>
      </c>
      <c r="B158" t="s">
        <v>34</v>
      </c>
      <c r="C158" t="s">
        <v>237</v>
      </c>
      <c r="D158" t="s">
        <v>238</v>
      </c>
      <c r="E158" t="s">
        <v>239</v>
      </c>
      <c r="F158" t="s">
        <v>43</v>
      </c>
      <c r="G158" t="s">
        <v>44</v>
      </c>
      <c r="H158">
        <v>5</v>
      </c>
      <c r="I158">
        <v>0</v>
      </c>
      <c r="J158" t="s">
        <v>94</v>
      </c>
      <c r="K158" t="s">
        <v>236</v>
      </c>
      <c r="L158" t="s">
        <v>22</v>
      </c>
      <c r="M158">
        <v>27</v>
      </c>
    </row>
    <row r="159" spans="1:13" x14ac:dyDescent="0.25">
      <c r="A159" t="s">
        <v>33</v>
      </c>
      <c r="B159" t="s">
        <v>34</v>
      </c>
      <c r="C159" t="s">
        <v>237</v>
      </c>
      <c r="D159" t="s">
        <v>238</v>
      </c>
      <c r="E159" t="s">
        <v>239</v>
      </c>
      <c r="F159" t="s">
        <v>45</v>
      </c>
      <c r="G159" t="s">
        <v>46</v>
      </c>
      <c r="H159">
        <v>0</v>
      </c>
      <c r="I159">
        <v>3</v>
      </c>
      <c r="J159" t="s">
        <v>94</v>
      </c>
      <c r="K159" t="s">
        <v>236</v>
      </c>
      <c r="L159" t="s">
        <v>22</v>
      </c>
      <c r="M159">
        <v>27</v>
      </c>
    </row>
    <row r="160" spans="1:13" x14ac:dyDescent="0.25">
      <c r="A160" t="s">
        <v>33</v>
      </c>
      <c r="B160" t="s">
        <v>34</v>
      </c>
      <c r="C160" t="s">
        <v>237</v>
      </c>
      <c r="D160" t="s">
        <v>238</v>
      </c>
      <c r="E160" t="s">
        <v>239</v>
      </c>
      <c r="F160" t="s">
        <v>47</v>
      </c>
      <c r="G160" t="s">
        <v>48</v>
      </c>
      <c r="H160">
        <v>5</v>
      </c>
      <c r="I160">
        <v>0</v>
      </c>
      <c r="J160" t="s">
        <v>94</v>
      </c>
      <c r="K160" t="s">
        <v>236</v>
      </c>
      <c r="L160" t="s">
        <v>22</v>
      </c>
      <c r="M160">
        <v>27</v>
      </c>
    </row>
    <row r="161" spans="1:13" x14ac:dyDescent="0.25">
      <c r="A161" t="s">
        <v>33</v>
      </c>
      <c r="B161" t="s">
        <v>34</v>
      </c>
      <c r="C161" t="s">
        <v>237</v>
      </c>
      <c r="D161" t="s">
        <v>238</v>
      </c>
      <c r="E161" t="s">
        <v>239</v>
      </c>
      <c r="F161" t="s">
        <v>49</v>
      </c>
      <c r="G161" t="s">
        <v>50</v>
      </c>
      <c r="H161">
        <v>0</v>
      </c>
      <c r="I161">
        <v>1</v>
      </c>
      <c r="J161" t="s">
        <v>94</v>
      </c>
      <c r="K161" t="s">
        <v>236</v>
      </c>
      <c r="L161" t="s">
        <v>22</v>
      </c>
      <c r="M161">
        <v>27</v>
      </c>
    </row>
    <row r="162" spans="1:13" x14ac:dyDescent="0.25">
      <c r="A162" t="s">
        <v>33</v>
      </c>
      <c r="B162" t="s">
        <v>34</v>
      </c>
      <c r="C162" t="s">
        <v>237</v>
      </c>
      <c r="D162" t="s">
        <v>238</v>
      </c>
      <c r="E162" t="s">
        <v>239</v>
      </c>
      <c r="F162" t="s">
        <v>23</v>
      </c>
      <c r="G162" t="s">
        <v>24</v>
      </c>
      <c r="H162">
        <v>5</v>
      </c>
      <c r="I162">
        <v>0</v>
      </c>
      <c r="J162" t="s">
        <v>94</v>
      </c>
      <c r="K162" t="s">
        <v>236</v>
      </c>
      <c r="L162" t="s">
        <v>22</v>
      </c>
      <c r="M162">
        <v>27</v>
      </c>
    </row>
    <row r="163" spans="1:13" x14ac:dyDescent="0.25">
      <c r="A163" t="s">
        <v>33</v>
      </c>
      <c r="B163" t="s">
        <v>34</v>
      </c>
      <c r="C163" t="s">
        <v>237</v>
      </c>
      <c r="D163" t="s">
        <v>238</v>
      </c>
      <c r="E163" t="s">
        <v>239</v>
      </c>
      <c r="F163" t="s">
        <v>51</v>
      </c>
      <c r="G163" t="s">
        <v>52</v>
      </c>
      <c r="H163">
        <v>0</v>
      </c>
      <c r="I163">
        <v>3</v>
      </c>
      <c r="J163" t="s">
        <v>94</v>
      </c>
      <c r="K163" t="s">
        <v>236</v>
      </c>
      <c r="L163" t="s">
        <v>22</v>
      </c>
      <c r="M163">
        <v>27</v>
      </c>
    </row>
    <row r="164" spans="1:13" x14ac:dyDescent="0.25">
      <c r="A164" t="s">
        <v>33</v>
      </c>
      <c r="B164" t="s">
        <v>34</v>
      </c>
      <c r="C164" t="s">
        <v>237</v>
      </c>
      <c r="D164" t="s">
        <v>238</v>
      </c>
      <c r="E164" t="s">
        <v>239</v>
      </c>
      <c r="F164" t="s">
        <v>53</v>
      </c>
      <c r="G164" t="s">
        <v>54</v>
      </c>
      <c r="H164">
        <v>5</v>
      </c>
      <c r="I164">
        <v>0</v>
      </c>
      <c r="J164" t="s">
        <v>94</v>
      </c>
      <c r="K164" t="s">
        <v>236</v>
      </c>
      <c r="L164" t="s">
        <v>22</v>
      </c>
      <c r="M164">
        <v>27</v>
      </c>
    </row>
    <row r="165" spans="1:13" x14ac:dyDescent="0.25">
      <c r="A165" t="s">
        <v>33</v>
      </c>
      <c r="B165" t="s">
        <v>34</v>
      </c>
      <c r="C165" t="s">
        <v>237</v>
      </c>
      <c r="D165" t="s">
        <v>238</v>
      </c>
      <c r="E165" t="s">
        <v>239</v>
      </c>
      <c r="F165" t="s">
        <v>59</v>
      </c>
      <c r="G165" t="s">
        <v>60</v>
      </c>
      <c r="H165">
        <v>0</v>
      </c>
      <c r="I165">
        <v>2</v>
      </c>
      <c r="J165" t="s">
        <v>94</v>
      </c>
      <c r="K165" t="s">
        <v>236</v>
      </c>
      <c r="L165" t="s">
        <v>22</v>
      </c>
      <c r="M165">
        <v>27</v>
      </c>
    </row>
    <row r="166" spans="1:13" x14ac:dyDescent="0.25">
      <c r="A166" t="s">
        <v>33</v>
      </c>
      <c r="B166" t="s">
        <v>34</v>
      </c>
      <c r="C166" t="s">
        <v>237</v>
      </c>
      <c r="D166" t="s">
        <v>238</v>
      </c>
      <c r="E166" t="s">
        <v>239</v>
      </c>
      <c r="F166" t="s">
        <v>63</v>
      </c>
      <c r="G166" t="s">
        <v>64</v>
      </c>
      <c r="H166">
        <v>6</v>
      </c>
      <c r="I166">
        <v>0</v>
      </c>
      <c r="J166" t="s">
        <v>94</v>
      </c>
      <c r="K166" t="s">
        <v>236</v>
      </c>
      <c r="L166" t="s">
        <v>22</v>
      </c>
      <c r="M166">
        <v>27</v>
      </c>
    </row>
    <row r="167" spans="1:13" x14ac:dyDescent="0.25">
      <c r="A167" t="s">
        <v>33</v>
      </c>
      <c r="B167" t="s">
        <v>34</v>
      </c>
      <c r="C167" t="s">
        <v>237</v>
      </c>
      <c r="D167" t="s">
        <v>238</v>
      </c>
      <c r="E167" t="s">
        <v>239</v>
      </c>
      <c r="F167" t="s">
        <v>25</v>
      </c>
      <c r="G167" t="s">
        <v>26</v>
      </c>
      <c r="H167">
        <v>5</v>
      </c>
      <c r="I167">
        <v>0</v>
      </c>
      <c r="J167" t="s">
        <v>94</v>
      </c>
      <c r="K167" t="s">
        <v>236</v>
      </c>
      <c r="L167" t="s">
        <v>22</v>
      </c>
      <c r="M167">
        <v>27</v>
      </c>
    </row>
    <row r="168" spans="1:13" x14ac:dyDescent="0.25">
      <c r="A168" t="s">
        <v>33</v>
      </c>
      <c r="B168" t="s">
        <v>34</v>
      </c>
      <c r="C168" t="s">
        <v>237</v>
      </c>
      <c r="D168" t="s">
        <v>238</v>
      </c>
      <c r="E168" t="s">
        <v>239</v>
      </c>
      <c r="F168" t="s">
        <v>65</v>
      </c>
      <c r="G168" t="s">
        <v>66</v>
      </c>
      <c r="H168">
        <v>0</v>
      </c>
      <c r="I168">
        <v>5</v>
      </c>
      <c r="J168" t="s">
        <v>94</v>
      </c>
      <c r="K168" t="s">
        <v>236</v>
      </c>
      <c r="L168" t="s">
        <v>22</v>
      </c>
      <c r="M168">
        <v>27</v>
      </c>
    </row>
    <row r="169" spans="1:13" x14ac:dyDescent="0.25">
      <c r="A169" t="s">
        <v>33</v>
      </c>
      <c r="B169" t="s">
        <v>34</v>
      </c>
      <c r="C169" t="s">
        <v>237</v>
      </c>
      <c r="D169" t="s">
        <v>238</v>
      </c>
      <c r="E169" t="s">
        <v>239</v>
      </c>
      <c r="F169" t="s">
        <v>67</v>
      </c>
      <c r="G169" t="s">
        <v>68</v>
      </c>
      <c r="H169">
        <v>0</v>
      </c>
      <c r="I169">
        <v>1</v>
      </c>
      <c r="J169" t="s">
        <v>94</v>
      </c>
      <c r="K169" t="s">
        <v>236</v>
      </c>
      <c r="L169" t="s">
        <v>22</v>
      </c>
      <c r="M169">
        <v>27</v>
      </c>
    </row>
    <row r="170" spans="1:13" x14ac:dyDescent="0.25">
      <c r="A170" t="s">
        <v>33</v>
      </c>
      <c r="B170" t="s">
        <v>34</v>
      </c>
      <c r="C170" t="s">
        <v>237</v>
      </c>
      <c r="D170" t="s">
        <v>238</v>
      </c>
      <c r="E170" t="s">
        <v>239</v>
      </c>
      <c r="F170" t="s">
        <v>29</v>
      </c>
      <c r="G170" t="s">
        <v>30</v>
      </c>
      <c r="H170">
        <v>5</v>
      </c>
      <c r="I170">
        <v>0</v>
      </c>
      <c r="J170" t="s">
        <v>94</v>
      </c>
      <c r="K170" t="s">
        <v>236</v>
      </c>
      <c r="L170" t="s">
        <v>22</v>
      </c>
      <c r="M170">
        <v>27</v>
      </c>
    </row>
    <row r="171" spans="1:13" x14ac:dyDescent="0.25">
      <c r="A171" t="s">
        <v>33</v>
      </c>
      <c r="B171" t="s">
        <v>34</v>
      </c>
      <c r="C171" t="s">
        <v>237</v>
      </c>
      <c r="D171" t="s">
        <v>238</v>
      </c>
      <c r="E171" t="s">
        <v>239</v>
      </c>
      <c r="F171" t="s">
        <v>31</v>
      </c>
      <c r="G171" t="s">
        <v>32</v>
      </c>
      <c r="H171">
        <v>5</v>
      </c>
      <c r="I171">
        <v>0</v>
      </c>
      <c r="J171" t="s">
        <v>94</v>
      </c>
      <c r="K171" t="s">
        <v>236</v>
      </c>
      <c r="L171" t="s">
        <v>22</v>
      </c>
      <c r="M171">
        <v>27</v>
      </c>
    </row>
    <row r="172" spans="1:13" x14ac:dyDescent="0.25">
      <c r="A172" t="s">
        <v>89</v>
      </c>
      <c r="B172" t="s">
        <v>90</v>
      </c>
      <c r="C172" t="s">
        <v>229</v>
      </c>
      <c r="D172" t="s">
        <v>230</v>
      </c>
      <c r="E172" t="s">
        <v>231</v>
      </c>
      <c r="F172" t="s">
        <v>18</v>
      </c>
      <c r="G172" t="s">
        <v>19</v>
      </c>
      <c r="H172">
        <v>0</v>
      </c>
      <c r="I172">
        <v>2</v>
      </c>
      <c r="J172" t="s">
        <v>101</v>
      </c>
      <c r="K172" t="s">
        <v>232</v>
      </c>
      <c r="L172" t="s">
        <v>22</v>
      </c>
      <c r="M172">
        <v>38</v>
      </c>
    </row>
    <row r="173" spans="1:13" x14ac:dyDescent="0.25">
      <c r="A173" t="s">
        <v>89</v>
      </c>
      <c r="B173" t="s">
        <v>90</v>
      </c>
      <c r="C173" t="s">
        <v>229</v>
      </c>
      <c r="D173" t="s">
        <v>230</v>
      </c>
      <c r="E173" t="s">
        <v>231</v>
      </c>
      <c r="F173" t="s">
        <v>45</v>
      </c>
      <c r="G173" t="s">
        <v>46</v>
      </c>
      <c r="H173">
        <v>0</v>
      </c>
      <c r="I173">
        <v>5</v>
      </c>
      <c r="J173" t="s">
        <v>101</v>
      </c>
      <c r="K173" t="s">
        <v>232</v>
      </c>
      <c r="L173" t="s">
        <v>22</v>
      </c>
      <c r="M173">
        <v>38</v>
      </c>
    </row>
    <row r="174" spans="1:13" x14ac:dyDescent="0.25">
      <c r="A174" t="s">
        <v>89</v>
      </c>
      <c r="B174" t="s">
        <v>90</v>
      </c>
      <c r="C174" t="s">
        <v>229</v>
      </c>
      <c r="D174" t="s">
        <v>230</v>
      </c>
      <c r="E174" t="s">
        <v>231</v>
      </c>
      <c r="F174" t="s">
        <v>63</v>
      </c>
      <c r="G174" t="s">
        <v>64</v>
      </c>
      <c r="H174">
        <v>0</v>
      </c>
      <c r="I174">
        <v>1</v>
      </c>
      <c r="J174" t="s">
        <v>101</v>
      </c>
      <c r="K174" t="s">
        <v>232</v>
      </c>
      <c r="L174" t="s">
        <v>22</v>
      </c>
      <c r="M174">
        <v>38</v>
      </c>
    </row>
    <row r="175" spans="1:13" x14ac:dyDescent="0.25">
      <c r="A175" t="s">
        <v>89</v>
      </c>
      <c r="B175" t="s">
        <v>90</v>
      </c>
      <c r="C175" t="s">
        <v>229</v>
      </c>
      <c r="D175" t="s">
        <v>230</v>
      </c>
      <c r="E175" t="s">
        <v>231</v>
      </c>
      <c r="F175" t="s">
        <v>25</v>
      </c>
      <c r="G175" t="s">
        <v>26</v>
      </c>
      <c r="H175">
        <v>0</v>
      </c>
      <c r="I175">
        <v>1</v>
      </c>
      <c r="J175" t="s">
        <v>101</v>
      </c>
      <c r="K175" t="s">
        <v>232</v>
      </c>
      <c r="L175" t="s">
        <v>22</v>
      </c>
      <c r="M175">
        <v>38</v>
      </c>
    </row>
    <row r="176" spans="1:13" x14ac:dyDescent="0.25">
      <c r="A176" t="s">
        <v>152</v>
      </c>
      <c r="B176" t="s">
        <v>153</v>
      </c>
      <c r="C176" t="s">
        <v>225</v>
      </c>
      <c r="D176" t="s">
        <v>226</v>
      </c>
      <c r="E176" t="s">
        <v>227</v>
      </c>
      <c r="F176" t="s">
        <v>43</v>
      </c>
      <c r="G176" t="s">
        <v>44</v>
      </c>
      <c r="H176">
        <v>0</v>
      </c>
      <c r="I176">
        <v>1</v>
      </c>
      <c r="J176" t="s">
        <v>101</v>
      </c>
      <c r="K176" t="s">
        <v>228</v>
      </c>
      <c r="L176" t="s">
        <v>22</v>
      </c>
      <c r="M176">
        <v>43</v>
      </c>
    </row>
    <row r="177" spans="1:13" x14ac:dyDescent="0.25">
      <c r="A177" t="s">
        <v>152</v>
      </c>
      <c r="B177" t="s">
        <v>153</v>
      </c>
      <c r="C177" t="s">
        <v>225</v>
      </c>
      <c r="D177" t="s">
        <v>226</v>
      </c>
      <c r="E177" t="s">
        <v>227</v>
      </c>
      <c r="F177" t="s">
        <v>45</v>
      </c>
      <c r="G177" t="s">
        <v>46</v>
      </c>
      <c r="H177">
        <v>0</v>
      </c>
      <c r="I177">
        <v>5</v>
      </c>
      <c r="J177" t="s">
        <v>101</v>
      </c>
      <c r="K177" t="s">
        <v>228</v>
      </c>
      <c r="L177" t="s">
        <v>22</v>
      </c>
      <c r="M177">
        <v>43</v>
      </c>
    </row>
    <row r="178" spans="1:13" x14ac:dyDescent="0.25">
      <c r="A178" t="s">
        <v>152</v>
      </c>
      <c r="B178" t="s">
        <v>153</v>
      </c>
      <c r="C178" t="s">
        <v>225</v>
      </c>
      <c r="D178" t="s">
        <v>226</v>
      </c>
      <c r="E178" t="s">
        <v>227</v>
      </c>
      <c r="F178" t="s">
        <v>47</v>
      </c>
      <c r="G178" t="s">
        <v>48</v>
      </c>
      <c r="H178">
        <v>0</v>
      </c>
      <c r="I178">
        <v>1</v>
      </c>
      <c r="J178" t="s">
        <v>101</v>
      </c>
      <c r="K178" t="s">
        <v>228</v>
      </c>
      <c r="L178" t="s">
        <v>22</v>
      </c>
      <c r="M178">
        <v>43</v>
      </c>
    </row>
    <row r="179" spans="1:13" x14ac:dyDescent="0.25">
      <c r="A179" t="s">
        <v>152</v>
      </c>
      <c r="B179" t="s">
        <v>153</v>
      </c>
      <c r="C179" t="s">
        <v>225</v>
      </c>
      <c r="D179" t="s">
        <v>226</v>
      </c>
      <c r="E179" t="s">
        <v>227</v>
      </c>
      <c r="F179" t="s">
        <v>51</v>
      </c>
      <c r="G179" t="s">
        <v>52</v>
      </c>
      <c r="H179">
        <v>0</v>
      </c>
      <c r="I179">
        <v>3</v>
      </c>
      <c r="J179" t="s">
        <v>101</v>
      </c>
      <c r="K179" t="s">
        <v>228</v>
      </c>
      <c r="L179" t="s">
        <v>22</v>
      </c>
      <c r="M179">
        <v>43</v>
      </c>
    </row>
    <row r="180" spans="1:13" x14ac:dyDescent="0.25">
      <c r="A180" t="s">
        <v>152</v>
      </c>
      <c r="B180" t="s">
        <v>153</v>
      </c>
      <c r="C180" t="s">
        <v>225</v>
      </c>
      <c r="D180" t="s">
        <v>226</v>
      </c>
      <c r="E180" t="s">
        <v>227</v>
      </c>
      <c r="F180" t="s">
        <v>55</v>
      </c>
      <c r="G180" t="s">
        <v>56</v>
      </c>
      <c r="H180">
        <v>0</v>
      </c>
      <c r="I180">
        <v>1</v>
      </c>
      <c r="J180" t="s">
        <v>101</v>
      </c>
      <c r="K180" t="s">
        <v>228</v>
      </c>
      <c r="L180" t="s">
        <v>22</v>
      </c>
      <c r="M180">
        <v>43</v>
      </c>
    </row>
    <row r="181" spans="1:13" x14ac:dyDescent="0.25">
      <c r="A181" t="s">
        <v>152</v>
      </c>
      <c r="B181" t="s">
        <v>153</v>
      </c>
      <c r="C181" t="s">
        <v>225</v>
      </c>
      <c r="D181" t="s">
        <v>226</v>
      </c>
      <c r="E181" t="s">
        <v>227</v>
      </c>
      <c r="F181" t="s">
        <v>59</v>
      </c>
      <c r="G181" t="s">
        <v>60</v>
      </c>
      <c r="H181">
        <v>0</v>
      </c>
      <c r="I181">
        <v>4</v>
      </c>
      <c r="J181" t="s">
        <v>101</v>
      </c>
      <c r="K181" t="s">
        <v>228</v>
      </c>
      <c r="L181" t="s">
        <v>22</v>
      </c>
      <c r="M181">
        <v>43</v>
      </c>
    </row>
    <row r="182" spans="1:13" x14ac:dyDescent="0.25">
      <c r="A182" t="s">
        <v>152</v>
      </c>
      <c r="B182" t="s">
        <v>153</v>
      </c>
      <c r="C182" t="s">
        <v>225</v>
      </c>
      <c r="D182" t="s">
        <v>226</v>
      </c>
      <c r="E182" t="s">
        <v>227</v>
      </c>
      <c r="F182" t="s">
        <v>67</v>
      </c>
      <c r="G182" t="s">
        <v>68</v>
      </c>
      <c r="H182">
        <v>2</v>
      </c>
      <c r="I182">
        <v>0</v>
      </c>
      <c r="J182" t="s">
        <v>101</v>
      </c>
      <c r="K182" t="s">
        <v>228</v>
      </c>
      <c r="L182" t="s">
        <v>22</v>
      </c>
      <c r="M182">
        <v>43</v>
      </c>
    </row>
    <row r="183" spans="1:13" x14ac:dyDescent="0.25">
      <c r="A183" t="s">
        <v>152</v>
      </c>
      <c r="B183" t="s">
        <v>153</v>
      </c>
      <c r="C183" t="s">
        <v>225</v>
      </c>
      <c r="D183" t="s">
        <v>226</v>
      </c>
      <c r="E183" t="s">
        <v>227</v>
      </c>
      <c r="F183" t="s">
        <v>31</v>
      </c>
      <c r="G183" t="s">
        <v>32</v>
      </c>
      <c r="H183">
        <v>0</v>
      </c>
      <c r="I183">
        <v>1</v>
      </c>
      <c r="J183" t="s">
        <v>101</v>
      </c>
      <c r="K183" t="s">
        <v>228</v>
      </c>
      <c r="L183" t="s">
        <v>22</v>
      </c>
      <c r="M183">
        <v>43</v>
      </c>
    </row>
    <row r="184" spans="1:13" x14ac:dyDescent="0.25">
      <c r="A184" t="s">
        <v>103</v>
      </c>
      <c r="B184" t="s">
        <v>104</v>
      </c>
      <c r="C184" t="s">
        <v>221</v>
      </c>
      <c r="D184" t="s">
        <v>222</v>
      </c>
      <c r="E184" t="s">
        <v>223</v>
      </c>
      <c r="F184" t="s">
        <v>18</v>
      </c>
      <c r="G184" t="s">
        <v>19</v>
      </c>
      <c r="H184">
        <v>0</v>
      </c>
      <c r="I184">
        <v>1</v>
      </c>
      <c r="J184" t="s">
        <v>101</v>
      </c>
      <c r="K184" t="s">
        <v>224</v>
      </c>
      <c r="L184" t="s">
        <v>22</v>
      </c>
      <c r="M184">
        <v>21</v>
      </c>
    </row>
    <row r="185" spans="1:13" x14ac:dyDescent="0.25">
      <c r="A185" t="s">
        <v>103</v>
      </c>
      <c r="B185" t="s">
        <v>104</v>
      </c>
      <c r="C185" t="s">
        <v>221</v>
      </c>
      <c r="D185" t="s">
        <v>222</v>
      </c>
      <c r="E185" t="s">
        <v>223</v>
      </c>
      <c r="F185" t="s">
        <v>39</v>
      </c>
      <c r="G185" t="s">
        <v>40</v>
      </c>
      <c r="H185">
        <v>0</v>
      </c>
      <c r="I185">
        <v>2</v>
      </c>
      <c r="J185" t="s">
        <v>101</v>
      </c>
      <c r="K185" t="s">
        <v>224</v>
      </c>
      <c r="L185" t="s">
        <v>22</v>
      </c>
      <c r="M185">
        <v>21</v>
      </c>
    </row>
    <row r="186" spans="1:13" x14ac:dyDescent="0.25">
      <c r="A186" t="s">
        <v>103</v>
      </c>
      <c r="B186" t="s">
        <v>104</v>
      </c>
      <c r="C186" t="s">
        <v>221</v>
      </c>
      <c r="D186" t="s">
        <v>222</v>
      </c>
      <c r="E186" t="s">
        <v>223</v>
      </c>
      <c r="F186" t="s">
        <v>49</v>
      </c>
      <c r="G186" t="s">
        <v>50</v>
      </c>
      <c r="H186">
        <v>0</v>
      </c>
      <c r="I186">
        <v>1</v>
      </c>
      <c r="J186" t="s">
        <v>101</v>
      </c>
      <c r="K186" t="s">
        <v>224</v>
      </c>
      <c r="L186" t="s">
        <v>22</v>
      </c>
      <c r="M186">
        <v>21</v>
      </c>
    </row>
    <row r="187" spans="1:13" x14ac:dyDescent="0.25">
      <c r="A187" t="s">
        <v>103</v>
      </c>
      <c r="B187" t="s">
        <v>104</v>
      </c>
      <c r="C187" t="s">
        <v>221</v>
      </c>
      <c r="D187" t="s">
        <v>222</v>
      </c>
      <c r="E187" t="s">
        <v>223</v>
      </c>
      <c r="F187" t="s">
        <v>51</v>
      </c>
      <c r="G187" t="s">
        <v>52</v>
      </c>
      <c r="H187">
        <v>0</v>
      </c>
      <c r="I187">
        <v>2</v>
      </c>
      <c r="J187" t="s">
        <v>101</v>
      </c>
      <c r="K187" t="s">
        <v>224</v>
      </c>
      <c r="L187" t="s">
        <v>22</v>
      </c>
      <c r="M187">
        <v>21</v>
      </c>
    </row>
    <row r="188" spans="1:13" x14ac:dyDescent="0.25">
      <c r="A188" t="s">
        <v>103</v>
      </c>
      <c r="B188" t="s">
        <v>104</v>
      </c>
      <c r="C188" t="s">
        <v>221</v>
      </c>
      <c r="D188" t="s">
        <v>222</v>
      </c>
      <c r="E188" t="s">
        <v>223</v>
      </c>
      <c r="F188" t="s">
        <v>81</v>
      </c>
      <c r="G188" t="s">
        <v>82</v>
      </c>
      <c r="H188">
        <v>0</v>
      </c>
      <c r="I188">
        <v>1</v>
      </c>
      <c r="J188" t="s">
        <v>101</v>
      </c>
      <c r="K188" t="s">
        <v>224</v>
      </c>
      <c r="L188" t="s">
        <v>22</v>
      </c>
      <c r="M188">
        <v>21</v>
      </c>
    </row>
    <row r="189" spans="1:13" x14ac:dyDescent="0.25">
      <c r="A189" t="s">
        <v>103</v>
      </c>
      <c r="B189" t="s">
        <v>104</v>
      </c>
      <c r="C189" t="s">
        <v>221</v>
      </c>
      <c r="D189" t="s">
        <v>222</v>
      </c>
      <c r="E189" t="s">
        <v>223</v>
      </c>
      <c r="F189" t="s">
        <v>59</v>
      </c>
      <c r="G189" t="s">
        <v>60</v>
      </c>
      <c r="H189">
        <v>0</v>
      </c>
      <c r="I189">
        <v>2</v>
      </c>
      <c r="J189" t="s">
        <v>101</v>
      </c>
      <c r="K189" t="s">
        <v>224</v>
      </c>
      <c r="L189" t="s">
        <v>22</v>
      </c>
      <c r="M189">
        <v>21</v>
      </c>
    </row>
    <row r="190" spans="1:13" x14ac:dyDescent="0.25">
      <c r="A190" t="s">
        <v>103</v>
      </c>
      <c r="B190" t="s">
        <v>104</v>
      </c>
      <c r="C190" t="s">
        <v>221</v>
      </c>
      <c r="D190" t="s">
        <v>222</v>
      </c>
      <c r="E190" t="s">
        <v>223</v>
      </c>
      <c r="F190" t="s">
        <v>61</v>
      </c>
      <c r="G190" t="s">
        <v>62</v>
      </c>
      <c r="H190">
        <v>0</v>
      </c>
      <c r="I190">
        <v>1</v>
      </c>
      <c r="J190" t="s">
        <v>101</v>
      </c>
      <c r="K190" t="s">
        <v>224</v>
      </c>
      <c r="L190" t="s">
        <v>22</v>
      </c>
      <c r="M190">
        <v>21</v>
      </c>
    </row>
    <row r="191" spans="1:13" x14ac:dyDescent="0.25">
      <c r="A191" t="s">
        <v>103</v>
      </c>
      <c r="B191" t="s">
        <v>104</v>
      </c>
      <c r="C191" t="s">
        <v>221</v>
      </c>
      <c r="D191" t="s">
        <v>222</v>
      </c>
      <c r="E191" t="s">
        <v>223</v>
      </c>
      <c r="F191" t="s">
        <v>63</v>
      </c>
      <c r="G191" t="s">
        <v>64</v>
      </c>
      <c r="H191">
        <v>6</v>
      </c>
      <c r="I191">
        <v>0</v>
      </c>
      <c r="J191" t="s">
        <v>101</v>
      </c>
      <c r="K191" t="s">
        <v>224</v>
      </c>
      <c r="L191" t="s">
        <v>22</v>
      </c>
      <c r="M191">
        <v>21</v>
      </c>
    </row>
    <row r="192" spans="1:13" x14ac:dyDescent="0.25">
      <c r="A192" t="s">
        <v>103</v>
      </c>
      <c r="B192" t="s">
        <v>104</v>
      </c>
      <c r="C192" t="s">
        <v>221</v>
      </c>
      <c r="D192" t="s">
        <v>222</v>
      </c>
      <c r="E192" t="s">
        <v>223</v>
      </c>
      <c r="F192" t="s">
        <v>65</v>
      </c>
      <c r="G192" t="s">
        <v>66</v>
      </c>
      <c r="H192">
        <v>0</v>
      </c>
      <c r="I192">
        <v>4</v>
      </c>
      <c r="J192" t="s">
        <v>101</v>
      </c>
      <c r="K192" t="s">
        <v>224</v>
      </c>
      <c r="L192" t="s">
        <v>22</v>
      </c>
      <c r="M192">
        <v>21</v>
      </c>
    </row>
    <row r="193" spans="1:13" x14ac:dyDescent="0.25">
      <c r="A193" t="s">
        <v>103</v>
      </c>
      <c r="B193" t="s">
        <v>104</v>
      </c>
      <c r="C193" t="s">
        <v>221</v>
      </c>
      <c r="D193" t="s">
        <v>222</v>
      </c>
      <c r="E193" t="s">
        <v>223</v>
      </c>
      <c r="F193" t="s">
        <v>69</v>
      </c>
      <c r="G193" t="s">
        <v>70</v>
      </c>
      <c r="H193">
        <v>6</v>
      </c>
      <c r="I193">
        <v>0</v>
      </c>
      <c r="J193" t="s">
        <v>101</v>
      </c>
      <c r="K193" t="s">
        <v>224</v>
      </c>
      <c r="L193" t="s">
        <v>22</v>
      </c>
      <c r="M193">
        <v>21</v>
      </c>
    </row>
    <row r="194" spans="1:13" x14ac:dyDescent="0.25">
      <c r="A194" t="s">
        <v>215</v>
      </c>
      <c r="B194" t="s">
        <v>216</v>
      </c>
      <c r="C194" t="s">
        <v>217</v>
      </c>
      <c r="D194" t="s">
        <v>218</v>
      </c>
      <c r="E194" t="s">
        <v>219</v>
      </c>
      <c r="F194" t="s">
        <v>18</v>
      </c>
      <c r="G194" t="s">
        <v>19</v>
      </c>
      <c r="H194">
        <v>0</v>
      </c>
      <c r="I194">
        <v>15</v>
      </c>
      <c r="J194" t="s">
        <v>20</v>
      </c>
      <c r="K194" t="s">
        <v>220</v>
      </c>
      <c r="L194" t="s">
        <v>22</v>
      </c>
      <c r="M194">
        <v>39</v>
      </c>
    </row>
    <row r="195" spans="1:13" x14ac:dyDescent="0.25">
      <c r="A195" t="s">
        <v>215</v>
      </c>
      <c r="B195" t="s">
        <v>216</v>
      </c>
      <c r="C195" t="s">
        <v>217</v>
      </c>
      <c r="D195" t="s">
        <v>218</v>
      </c>
      <c r="E195" t="s">
        <v>219</v>
      </c>
      <c r="F195" t="s">
        <v>79</v>
      </c>
      <c r="G195" t="s">
        <v>80</v>
      </c>
      <c r="H195">
        <v>5</v>
      </c>
      <c r="I195">
        <v>8</v>
      </c>
      <c r="J195" t="s">
        <v>20</v>
      </c>
      <c r="K195" t="s">
        <v>220</v>
      </c>
      <c r="L195" t="s">
        <v>22</v>
      </c>
      <c r="M195">
        <v>39</v>
      </c>
    </row>
    <row r="196" spans="1:13" x14ac:dyDescent="0.25">
      <c r="A196" t="s">
        <v>215</v>
      </c>
      <c r="B196" t="s">
        <v>216</v>
      </c>
      <c r="C196" t="s">
        <v>217</v>
      </c>
      <c r="D196" t="s">
        <v>218</v>
      </c>
      <c r="E196" t="s">
        <v>219</v>
      </c>
      <c r="F196" t="s">
        <v>39</v>
      </c>
      <c r="G196" t="s">
        <v>40</v>
      </c>
      <c r="H196">
        <v>0</v>
      </c>
      <c r="I196">
        <v>5</v>
      </c>
      <c r="J196" t="s">
        <v>20</v>
      </c>
      <c r="K196" t="s">
        <v>220</v>
      </c>
      <c r="L196" t="s">
        <v>22</v>
      </c>
      <c r="M196">
        <v>39</v>
      </c>
    </row>
    <row r="197" spans="1:13" x14ac:dyDescent="0.25">
      <c r="A197" t="s">
        <v>215</v>
      </c>
      <c r="B197" t="s">
        <v>216</v>
      </c>
      <c r="C197" t="s">
        <v>217</v>
      </c>
      <c r="D197" t="s">
        <v>218</v>
      </c>
      <c r="E197" t="s">
        <v>219</v>
      </c>
      <c r="F197" t="s">
        <v>43</v>
      </c>
      <c r="G197" t="s">
        <v>44</v>
      </c>
      <c r="H197">
        <v>0</v>
      </c>
      <c r="I197">
        <v>7</v>
      </c>
      <c r="J197" t="s">
        <v>20</v>
      </c>
      <c r="K197" t="s">
        <v>220</v>
      </c>
      <c r="L197" t="s">
        <v>22</v>
      </c>
      <c r="M197">
        <v>39</v>
      </c>
    </row>
    <row r="198" spans="1:13" x14ac:dyDescent="0.25">
      <c r="A198" t="s">
        <v>215</v>
      </c>
      <c r="B198" t="s">
        <v>216</v>
      </c>
      <c r="C198" t="s">
        <v>217</v>
      </c>
      <c r="D198" t="s">
        <v>218</v>
      </c>
      <c r="E198" t="s">
        <v>219</v>
      </c>
      <c r="F198" t="s">
        <v>45</v>
      </c>
      <c r="G198" t="s">
        <v>46</v>
      </c>
      <c r="H198">
        <v>0</v>
      </c>
      <c r="I198">
        <v>75</v>
      </c>
      <c r="J198" t="s">
        <v>20</v>
      </c>
      <c r="K198" t="s">
        <v>220</v>
      </c>
      <c r="L198" t="s">
        <v>22</v>
      </c>
      <c r="M198">
        <v>39</v>
      </c>
    </row>
    <row r="199" spans="1:13" x14ac:dyDescent="0.25">
      <c r="A199" t="s">
        <v>215</v>
      </c>
      <c r="B199" t="s">
        <v>216</v>
      </c>
      <c r="C199" t="s">
        <v>217</v>
      </c>
      <c r="D199" t="s">
        <v>218</v>
      </c>
      <c r="E199" t="s">
        <v>219</v>
      </c>
      <c r="F199" t="s">
        <v>47</v>
      </c>
      <c r="G199" t="s">
        <v>48</v>
      </c>
      <c r="H199">
        <v>0</v>
      </c>
      <c r="I199">
        <v>12</v>
      </c>
      <c r="J199" t="s">
        <v>20</v>
      </c>
      <c r="K199" t="s">
        <v>220</v>
      </c>
      <c r="L199" t="s">
        <v>22</v>
      </c>
      <c r="M199">
        <v>39</v>
      </c>
    </row>
    <row r="200" spans="1:13" x14ac:dyDescent="0.25">
      <c r="A200" t="s">
        <v>215</v>
      </c>
      <c r="B200" t="s">
        <v>216</v>
      </c>
      <c r="C200" t="s">
        <v>217</v>
      </c>
      <c r="D200" t="s">
        <v>218</v>
      </c>
      <c r="E200" t="s">
        <v>219</v>
      </c>
      <c r="F200" t="s">
        <v>49</v>
      </c>
      <c r="G200" t="s">
        <v>50</v>
      </c>
      <c r="H200">
        <v>0</v>
      </c>
      <c r="I200">
        <v>5</v>
      </c>
      <c r="J200" t="s">
        <v>20</v>
      </c>
      <c r="K200" t="s">
        <v>220</v>
      </c>
      <c r="L200" t="s">
        <v>22</v>
      </c>
      <c r="M200">
        <v>39</v>
      </c>
    </row>
    <row r="201" spans="1:13" x14ac:dyDescent="0.25">
      <c r="A201" t="s">
        <v>215</v>
      </c>
      <c r="B201" t="s">
        <v>216</v>
      </c>
      <c r="C201" t="s">
        <v>217</v>
      </c>
      <c r="D201" t="s">
        <v>218</v>
      </c>
      <c r="E201" t="s">
        <v>219</v>
      </c>
      <c r="F201" t="s">
        <v>23</v>
      </c>
      <c r="G201" t="s">
        <v>24</v>
      </c>
      <c r="H201">
        <v>0</v>
      </c>
      <c r="I201">
        <v>5</v>
      </c>
      <c r="J201" t="s">
        <v>20</v>
      </c>
      <c r="K201" t="s">
        <v>220</v>
      </c>
      <c r="L201" t="s">
        <v>22</v>
      </c>
      <c r="M201">
        <v>39</v>
      </c>
    </row>
    <row r="202" spans="1:13" x14ac:dyDescent="0.25">
      <c r="A202" t="s">
        <v>215</v>
      </c>
      <c r="B202" t="s">
        <v>216</v>
      </c>
      <c r="C202" t="s">
        <v>217</v>
      </c>
      <c r="D202" t="s">
        <v>218</v>
      </c>
      <c r="E202" t="s">
        <v>219</v>
      </c>
      <c r="F202" t="s">
        <v>51</v>
      </c>
      <c r="G202" t="s">
        <v>52</v>
      </c>
      <c r="H202">
        <v>0</v>
      </c>
      <c r="I202">
        <v>100</v>
      </c>
      <c r="J202" t="s">
        <v>20</v>
      </c>
      <c r="K202" t="s">
        <v>220</v>
      </c>
      <c r="L202" t="s">
        <v>22</v>
      </c>
      <c r="M202">
        <v>39</v>
      </c>
    </row>
    <row r="203" spans="1:13" x14ac:dyDescent="0.25">
      <c r="A203" t="s">
        <v>215</v>
      </c>
      <c r="B203" t="s">
        <v>216</v>
      </c>
      <c r="C203" t="s">
        <v>217</v>
      </c>
      <c r="D203" t="s">
        <v>218</v>
      </c>
      <c r="E203" t="s">
        <v>219</v>
      </c>
      <c r="F203" t="s">
        <v>53</v>
      </c>
      <c r="G203" t="s">
        <v>54</v>
      </c>
      <c r="H203">
        <v>0</v>
      </c>
      <c r="I203">
        <v>10</v>
      </c>
      <c r="J203" t="s">
        <v>20</v>
      </c>
      <c r="K203" t="s">
        <v>220</v>
      </c>
      <c r="L203" t="s">
        <v>22</v>
      </c>
      <c r="M203">
        <v>39</v>
      </c>
    </row>
    <row r="204" spans="1:13" x14ac:dyDescent="0.25">
      <c r="A204" t="s">
        <v>215</v>
      </c>
      <c r="B204" t="s">
        <v>216</v>
      </c>
      <c r="C204" t="s">
        <v>217</v>
      </c>
      <c r="D204" t="s">
        <v>218</v>
      </c>
      <c r="E204" t="s">
        <v>219</v>
      </c>
      <c r="F204" t="s">
        <v>55</v>
      </c>
      <c r="G204" t="s">
        <v>56</v>
      </c>
      <c r="H204">
        <v>0</v>
      </c>
      <c r="I204">
        <v>5</v>
      </c>
      <c r="J204" t="s">
        <v>20</v>
      </c>
      <c r="K204" t="s">
        <v>220</v>
      </c>
      <c r="L204" t="s">
        <v>22</v>
      </c>
      <c r="M204">
        <v>39</v>
      </c>
    </row>
    <row r="205" spans="1:13" x14ac:dyDescent="0.25">
      <c r="A205" t="s">
        <v>215</v>
      </c>
      <c r="B205" t="s">
        <v>216</v>
      </c>
      <c r="C205" t="s">
        <v>217</v>
      </c>
      <c r="D205" t="s">
        <v>218</v>
      </c>
      <c r="E205" t="s">
        <v>219</v>
      </c>
      <c r="F205" t="s">
        <v>81</v>
      </c>
      <c r="G205" t="s">
        <v>82</v>
      </c>
      <c r="H205">
        <v>0</v>
      </c>
      <c r="I205">
        <v>5</v>
      </c>
      <c r="J205" t="s">
        <v>20</v>
      </c>
      <c r="K205" t="s">
        <v>220</v>
      </c>
      <c r="L205" t="s">
        <v>22</v>
      </c>
      <c r="M205">
        <v>39</v>
      </c>
    </row>
    <row r="206" spans="1:13" x14ac:dyDescent="0.25">
      <c r="A206" t="s">
        <v>215</v>
      </c>
      <c r="B206" t="s">
        <v>216</v>
      </c>
      <c r="C206" t="s">
        <v>217</v>
      </c>
      <c r="D206" t="s">
        <v>218</v>
      </c>
      <c r="E206" t="s">
        <v>219</v>
      </c>
      <c r="F206" t="s">
        <v>59</v>
      </c>
      <c r="G206" t="s">
        <v>60</v>
      </c>
      <c r="H206">
        <v>0</v>
      </c>
      <c r="I206">
        <v>70</v>
      </c>
      <c r="J206" t="s">
        <v>20</v>
      </c>
      <c r="K206" t="s">
        <v>220</v>
      </c>
      <c r="L206" t="s">
        <v>22</v>
      </c>
      <c r="M206">
        <v>39</v>
      </c>
    </row>
    <row r="207" spans="1:13" x14ac:dyDescent="0.25">
      <c r="A207" t="s">
        <v>215</v>
      </c>
      <c r="B207" t="s">
        <v>216</v>
      </c>
      <c r="C207" t="s">
        <v>217</v>
      </c>
      <c r="D207" t="s">
        <v>218</v>
      </c>
      <c r="E207" t="s">
        <v>219</v>
      </c>
      <c r="F207" t="s">
        <v>61</v>
      </c>
      <c r="G207" t="s">
        <v>62</v>
      </c>
      <c r="H207">
        <v>0</v>
      </c>
      <c r="I207">
        <v>7</v>
      </c>
      <c r="J207" t="s">
        <v>20</v>
      </c>
      <c r="K207" t="s">
        <v>220</v>
      </c>
      <c r="L207" t="s">
        <v>22</v>
      </c>
      <c r="M207">
        <v>39</v>
      </c>
    </row>
    <row r="208" spans="1:13" x14ac:dyDescent="0.25">
      <c r="A208" t="s">
        <v>215</v>
      </c>
      <c r="B208" t="s">
        <v>216</v>
      </c>
      <c r="C208" t="s">
        <v>217</v>
      </c>
      <c r="D208" t="s">
        <v>218</v>
      </c>
      <c r="E208" t="s">
        <v>219</v>
      </c>
      <c r="F208" t="s">
        <v>171</v>
      </c>
      <c r="G208" t="s">
        <v>172</v>
      </c>
      <c r="H208">
        <v>5</v>
      </c>
      <c r="I208">
        <v>0</v>
      </c>
      <c r="J208" t="s">
        <v>20</v>
      </c>
      <c r="K208" t="s">
        <v>220</v>
      </c>
      <c r="L208" t="s">
        <v>22</v>
      </c>
      <c r="M208">
        <v>39</v>
      </c>
    </row>
    <row r="209" spans="1:13" x14ac:dyDescent="0.25">
      <c r="A209" t="s">
        <v>215</v>
      </c>
      <c r="B209" t="s">
        <v>216</v>
      </c>
      <c r="C209" t="s">
        <v>217</v>
      </c>
      <c r="D209" t="s">
        <v>218</v>
      </c>
      <c r="E209" t="s">
        <v>219</v>
      </c>
      <c r="F209" t="s">
        <v>25</v>
      </c>
      <c r="G209" t="s">
        <v>26</v>
      </c>
      <c r="H209">
        <v>0</v>
      </c>
      <c r="I209">
        <v>10</v>
      </c>
      <c r="J209" t="s">
        <v>20</v>
      </c>
      <c r="K209" t="s">
        <v>220</v>
      </c>
      <c r="L209" t="s">
        <v>22</v>
      </c>
      <c r="M209">
        <v>39</v>
      </c>
    </row>
    <row r="210" spans="1:13" x14ac:dyDescent="0.25">
      <c r="A210" t="s">
        <v>215</v>
      </c>
      <c r="B210" t="s">
        <v>216</v>
      </c>
      <c r="C210" t="s">
        <v>217</v>
      </c>
      <c r="D210" t="s">
        <v>218</v>
      </c>
      <c r="E210" t="s">
        <v>219</v>
      </c>
      <c r="F210" t="s">
        <v>65</v>
      </c>
      <c r="G210" t="s">
        <v>66</v>
      </c>
      <c r="H210">
        <v>0</v>
      </c>
      <c r="I210">
        <v>115</v>
      </c>
      <c r="J210" t="s">
        <v>20</v>
      </c>
      <c r="K210" t="s">
        <v>220</v>
      </c>
      <c r="L210" t="s">
        <v>22</v>
      </c>
      <c r="M210">
        <v>39</v>
      </c>
    </row>
    <row r="211" spans="1:13" x14ac:dyDescent="0.25">
      <c r="A211" t="s">
        <v>215</v>
      </c>
      <c r="B211" t="s">
        <v>216</v>
      </c>
      <c r="C211" t="s">
        <v>217</v>
      </c>
      <c r="D211" t="s">
        <v>218</v>
      </c>
      <c r="E211" t="s">
        <v>219</v>
      </c>
      <c r="F211" t="s">
        <v>29</v>
      </c>
      <c r="G211" t="s">
        <v>30</v>
      </c>
      <c r="H211">
        <v>0</v>
      </c>
      <c r="I211">
        <v>14</v>
      </c>
      <c r="J211" t="s">
        <v>20</v>
      </c>
      <c r="K211" t="s">
        <v>220</v>
      </c>
      <c r="L211" t="s">
        <v>22</v>
      </c>
      <c r="M211">
        <v>39</v>
      </c>
    </row>
    <row r="212" spans="1:13" x14ac:dyDescent="0.25">
      <c r="A212" t="s">
        <v>215</v>
      </c>
      <c r="B212" t="s">
        <v>216</v>
      </c>
      <c r="C212" t="s">
        <v>217</v>
      </c>
      <c r="D212" t="s">
        <v>218</v>
      </c>
      <c r="E212" t="s">
        <v>219</v>
      </c>
      <c r="F212" t="s">
        <v>69</v>
      </c>
      <c r="G212" t="s">
        <v>70</v>
      </c>
      <c r="H212">
        <v>6</v>
      </c>
      <c r="I212">
        <v>5</v>
      </c>
      <c r="J212" t="s">
        <v>20</v>
      </c>
      <c r="K212" t="s">
        <v>220</v>
      </c>
      <c r="L212" t="s">
        <v>22</v>
      </c>
      <c r="M212">
        <v>39</v>
      </c>
    </row>
    <row r="213" spans="1:13" x14ac:dyDescent="0.25">
      <c r="A213" t="s">
        <v>215</v>
      </c>
      <c r="B213" t="s">
        <v>216</v>
      </c>
      <c r="C213" t="s">
        <v>217</v>
      </c>
      <c r="D213" t="s">
        <v>218</v>
      </c>
      <c r="E213" t="s">
        <v>219</v>
      </c>
      <c r="F213" t="s">
        <v>71</v>
      </c>
      <c r="G213" t="s">
        <v>72</v>
      </c>
      <c r="H213">
        <v>0</v>
      </c>
      <c r="I213">
        <v>40</v>
      </c>
      <c r="J213" t="s">
        <v>20</v>
      </c>
      <c r="K213" t="s">
        <v>220</v>
      </c>
      <c r="L213" t="s">
        <v>22</v>
      </c>
      <c r="M213">
        <v>39</v>
      </c>
    </row>
    <row r="214" spans="1:13" x14ac:dyDescent="0.25">
      <c r="A214" t="s">
        <v>215</v>
      </c>
      <c r="B214" t="s">
        <v>216</v>
      </c>
      <c r="C214" t="s">
        <v>217</v>
      </c>
      <c r="D214" t="s">
        <v>218</v>
      </c>
      <c r="E214" t="s">
        <v>219</v>
      </c>
      <c r="F214" t="s">
        <v>31</v>
      </c>
      <c r="G214" t="s">
        <v>32</v>
      </c>
      <c r="H214">
        <v>0</v>
      </c>
      <c r="I214">
        <v>10</v>
      </c>
      <c r="J214" t="s">
        <v>20</v>
      </c>
      <c r="K214" t="s">
        <v>220</v>
      </c>
      <c r="L214" t="s">
        <v>22</v>
      </c>
      <c r="M214">
        <v>39</v>
      </c>
    </row>
    <row r="215" spans="1:13" x14ac:dyDescent="0.25">
      <c r="A215" t="s">
        <v>120</v>
      </c>
      <c r="B215" t="s">
        <v>121</v>
      </c>
      <c r="C215" t="s">
        <v>211</v>
      </c>
      <c r="D215" t="s">
        <v>212</v>
      </c>
      <c r="E215" t="s">
        <v>213</v>
      </c>
      <c r="F215" t="s">
        <v>39</v>
      </c>
      <c r="G215" t="s">
        <v>40</v>
      </c>
      <c r="H215">
        <v>5</v>
      </c>
      <c r="I215">
        <v>0</v>
      </c>
      <c r="J215" t="s">
        <v>101</v>
      </c>
      <c r="K215" t="s">
        <v>214</v>
      </c>
      <c r="L215" t="s">
        <v>22</v>
      </c>
      <c r="M215">
        <v>39</v>
      </c>
    </row>
    <row r="216" spans="1:13" x14ac:dyDescent="0.25">
      <c r="A216" t="s">
        <v>120</v>
      </c>
      <c r="B216" t="s">
        <v>121</v>
      </c>
      <c r="C216" t="s">
        <v>211</v>
      </c>
      <c r="D216" t="s">
        <v>212</v>
      </c>
      <c r="E216" t="s">
        <v>213</v>
      </c>
      <c r="F216" t="s">
        <v>45</v>
      </c>
      <c r="G216" t="s">
        <v>46</v>
      </c>
      <c r="H216">
        <v>0</v>
      </c>
      <c r="I216">
        <v>3</v>
      </c>
      <c r="J216" t="s">
        <v>101</v>
      </c>
      <c r="K216" t="s">
        <v>214</v>
      </c>
      <c r="L216" t="s">
        <v>22</v>
      </c>
      <c r="M216">
        <v>39</v>
      </c>
    </row>
    <row r="217" spans="1:13" x14ac:dyDescent="0.25">
      <c r="A217" t="s">
        <v>120</v>
      </c>
      <c r="B217" t="s">
        <v>121</v>
      </c>
      <c r="C217" t="s">
        <v>211</v>
      </c>
      <c r="D217" t="s">
        <v>212</v>
      </c>
      <c r="E217" t="s">
        <v>213</v>
      </c>
      <c r="F217" t="s">
        <v>51</v>
      </c>
      <c r="G217" t="s">
        <v>52</v>
      </c>
      <c r="H217">
        <v>0</v>
      </c>
      <c r="I217">
        <v>2</v>
      </c>
      <c r="J217" t="s">
        <v>101</v>
      </c>
      <c r="K217" t="s">
        <v>214</v>
      </c>
      <c r="L217" t="s">
        <v>22</v>
      </c>
      <c r="M217">
        <v>39</v>
      </c>
    </row>
    <row r="218" spans="1:13" x14ac:dyDescent="0.25">
      <c r="A218" t="s">
        <v>120</v>
      </c>
      <c r="B218" t="s">
        <v>121</v>
      </c>
      <c r="C218" t="s">
        <v>211</v>
      </c>
      <c r="D218" t="s">
        <v>212</v>
      </c>
      <c r="E218" t="s">
        <v>213</v>
      </c>
      <c r="F218" t="s">
        <v>55</v>
      </c>
      <c r="G218" t="s">
        <v>56</v>
      </c>
      <c r="H218">
        <v>5</v>
      </c>
      <c r="I218">
        <v>0</v>
      </c>
      <c r="J218" t="s">
        <v>101</v>
      </c>
      <c r="K218" t="s">
        <v>214</v>
      </c>
      <c r="L218" t="s">
        <v>22</v>
      </c>
      <c r="M218">
        <v>39</v>
      </c>
    </row>
    <row r="219" spans="1:13" x14ac:dyDescent="0.25">
      <c r="A219" t="s">
        <v>120</v>
      </c>
      <c r="B219" t="s">
        <v>121</v>
      </c>
      <c r="C219" t="s">
        <v>211</v>
      </c>
      <c r="D219" t="s">
        <v>212</v>
      </c>
      <c r="E219" t="s">
        <v>213</v>
      </c>
      <c r="F219" t="s">
        <v>59</v>
      </c>
      <c r="G219" t="s">
        <v>60</v>
      </c>
      <c r="H219">
        <v>0</v>
      </c>
      <c r="I219">
        <v>1</v>
      </c>
      <c r="J219" t="s">
        <v>101</v>
      </c>
      <c r="K219" t="s">
        <v>214</v>
      </c>
      <c r="L219" t="s">
        <v>22</v>
      </c>
      <c r="M219">
        <v>39</v>
      </c>
    </row>
    <row r="220" spans="1:13" x14ac:dyDescent="0.25">
      <c r="A220" t="s">
        <v>120</v>
      </c>
      <c r="B220" t="s">
        <v>121</v>
      </c>
      <c r="C220" t="s">
        <v>211</v>
      </c>
      <c r="D220" t="s">
        <v>212</v>
      </c>
      <c r="E220" t="s">
        <v>213</v>
      </c>
      <c r="F220" t="s">
        <v>61</v>
      </c>
      <c r="G220" t="s">
        <v>62</v>
      </c>
      <c r="H220">
        <v>5</v>
      </c>
      <c r="I220">
        <v>0</v>
      </c>
      <c r="J220" t="s">
        <v>101</v>
      </c>
      <c r="K220" t="s">
        <v>214</v>
      </c>
      <c r="L220" t="s">
        <v>22</v>
      </c>
      <c r="M220">
        <v>39</v>
      </c>
    </row>
    <row r="221" spans="1:13" x14ac:dyDescent="0.25">
      <c r="A221" t="s">
        <v>120</v>
      </c>
      <c r="B221" t="s">
        <v>121</v>
      </c>
      <c r="C221" t="s">
        <v>211</v>
      </c>
      <c r="D221" t="s">
        <v>212</v>
      </c>
      <c r="E221" t="s">
        <v>213</v>
      </c>
      <c r="F221" t="s">
        <v>63</v>
      </c>
      <c r="G221" t="s">
        <v>64</v>
      </c>
      <c r="H221">
        <v>2</v>
      </c>
      <c r="I221">
        <v>0</v>
      </c>
      <c r="J221" t="s">
        <v>101</v>
      </c>
      <c r="K221" t="s">
        <v>214</v>
      </c>
      <c r="L221" t="s">
        <v>22</v>
      </c>
      <c r="M221">
        <v>39</v>
      </c>
    </row>
    <row r="222" spans="1:13" x14ac:dyDescent="0.25">
      <c r="A222" t="s">
        <v>120</v>
      </c>
      <c r="B222" t="s">
        <v>121</v>
      </c>
      <c r="C222" t="s">
        <v>211</v>
      </c>
      <c r="D222" t="s">
        <v>212</v>
      </c>
      <c r="E222" t="s">
        <v>213</v>
      </c>
      <c r="F222" t="s">
        <v>27</v>
      </c>
      <c r="G222" t="s">
        <v>28</v>
      </c>
      <c r="H222">
        <v>5</v>
      </c>
      <c r="I222">
        <v>0</v>
      </c>
      <c r="J222" t="s">
        <v>101</v>
      </c>
      <c r="K222" t="s">
        <v>214</v>
      </c>
      <c r="L222" t="s">
        <v>22</v>
      </c>
      <c r="M222">
        <v>39</v>
      </c>
    </row>
    <row r="223" spans="1:13" x14ac:dyDescent="0.25">
      <c r="A223" t="s">
        <v>120</v>
      </c>
      <c r="B223" t="s">
        <v>121</v>
      </c>
      <c r="C223" t="s">
        <v>211</v>
      </c>
      <c r="D223" t="s">
        <v>212</v>
      </c>
      <c r="E223" t="s">
        <v>213</v>
      </c>
      <c r="F223" t="s">
        <v>65</v>
      </c>
      <c r="G223" t="s">
        <v>66</v>
      </c>
      <c r="H223">
        <v>0</v>
      </c>
      <c r="I223">
        <v>4</v>
      </c>
      <c r="J223" t="s">
        <v>101</v>
      </c>
      <c r="K223" t="s">
        <v>214</v>
      </c>
      <c r="L223" t="s">
        <v>22</v>
      </c>
      <c r="M223">
        <v>39</v>
      </c>
    </row>
    <row r="224" spans="1:13" x14ac:dyDescent="0.25">
      <c r="A224" t="s">
        <v>120</v>
      </c>
      <c r="B224" t="s">
        <v>121</v>
      </c>
      <c r="C224" t="s">
        <v>211</v>
      </c>
      <c r="D224" t="s">
        <v>212</v>
      </c>
      <c r="E224" t="s">
        <v>213</v>
      </c>
      <c r="F224" t="s">
        <v>69</v>
      </c>
      <c r="G224" t="s">
        <v>70</v>
      </c>
      <c r="H224">
        <v>4</v>
      </c>
      <c r="I224">
        <v>0</v>
      </c>
      <c r="J224" t="s">
        <v>101</v>
      </c>
      <c r="K224" t="s">
        <v>214</v>
      </c>
      <c r="L224" t="s">
        <v>22</v>
      </c>
      <c r="M224">
        <v>39</v>
      </c>
    </row>
    <row r="225" spans="1:13" x14ac:dyDescent="0.25">
      <c r="A225" t="s">
        <v>120</v>
      </c>
      <c r="B225" t="s">
        <v>121</v>
      </c>
      <c r="C225" t="s">
        <v>211</v>
      </c>
      <c r="D225" t="s">
        <v>212</v>
      </c>
      <c r="E225" t="s">
        <v>213</v>
      </c>
      <c r="F225" t="s">
        <v>71</v>
      </c>
      <c r="G225" t="s">
        <v>72</v>
      </c>
      <c r="H225">
        <v>5</v>
      </c>
      <c r="I225">
        <v>0</v>
      </c>
      <c r="J225" t="s">
        <v>101</v>
      </c>
      <c r="K225" t="s">
        <v>214</v>
      </c>
      <c r="L225" t="s">
        <v>22</v>
      </c>
      <c r="M225">
        <v>39</v>
      </c>
    </row>
    <row r="226" spans="1:13" x14ac:dyDescent="0.25">
      <c r="A226" t="s">
        <v>120</v>
      </c>
      <c r="B226" t="s">
        <v>121</v>
      </c>
      <c r="C226" t="s">
        <v>207</v>
      </c>
      <c r="D226" t="s">
        <v>208</v>
      </c>
      <c r="E226" t="s">
        <v>209</v>
      </c>
      <c r="F226" t="s">
        <v>43</v>
      </c>
      <c r="G226" t="s">
        <v>44</v>
      </c>
      <c r="H226">
        <v>0</v>
      </c>
      <c r="I226">
        <v>1</v>
      </c>
      <c r="J226" t="s">
        <v>101</v>
      </c>
      <c r="K226" t="s">
        <v>210</v>
      </c>
      <c r="L226" t="s">
        <v>22</v>
      </c>
      <c r="M226">
        <v>49</v>
      </c>
    </row>
    <row r="227" spans="1:13" x14ac:dyDescent="0.25">
      <c r="A227" t="s">
        <v>120</v>
      </c>
      <c r="B227" t="s">
        <v>121</v>
      </c>
      <c r="C227" t="s">
        <v>207</v>
      </c>
      <c r="D227" t="s">
        <v>208</v>
      </c>
      <c r="E227" t="s">
        <v>209</v>
      </c>
      <c r="F227" t="s">
        <v>45</v>
      </c>
      <c r="G227" t="s">
        <v>46</v>
      </c>
      <c r="H227">
        <v>0</v>
      </c>
      <c r="I227">
        <v>25</v>
      </c>
      <c r="J227" t="s">
        <v>101</v>
      </c>
      <c r="K227" t="s">
        <v>210</v>
      </c>
      <c r="L227" t="s">
        <v>22</v>
      </c>
      <c r="M227">
        <v>49</v>
      </c>
    </row>
    <row r="228" spans="1:13" x14ac:dyDescent="0.25">
      <c r="A228" t="s">
        <v>120</v>
      </c>
      <c r="B228" t="s">
        <v>121</v>
      </c>
      <c r="C228" t="s">
        <v>207</v>
      </c>
      <c r="D228" t="s">
        <v>208</v>
      </c>
      <c r="E228" t="s">
        <v>209</v>
      </c>
      <c r="F228" t="s">
        <v>49</v>
      </c>
      <c r="G228" t="s">
        <v>50</v>
      </c>
      <c r="H228">
        <v>0</v>
      </c>
      <c r="I228">
        <v>2</v>
      </c>
      <c r="J228" t="s">
        <v>101</v>
      </c>
      <c r="K228" t="s">
        <v>210</v>
      </c>
      <c r="L228" t="s">
        <v>22</v>
      </c>
      <c r="M228">
        <v>49</v>
      </c>
    </row>
    <row r="229" spans="1:13" x14ac:dyDescent="0.25">
      <c r="A229" t="s">
        <v>120</v>
      </c>
      <c r="B229" t="s">
        <v>121</v>
      </c>
      <c r="C229" t="s">
        <v>207</v>
      </c>
      <c r="D229" t="s">
        <v>208</v>
      </c>
      <c r="E229" t="s">
        <v>209</v>
      </c>
      <c r="F229" t="s">
        <v>23</v>
      </c>
      <c r="G229" t="s">
        <v>24</v>
      </c>
      <c r="H229">
        <v>0</v>
      </c>
      <c r="I229">
        <v>1</v>
      </c>
      <c r="J229" t="s">
        <v>101</v>
      </c>
      <c r="K229" t="s">
        <v>210</v>
      </c>
      <c r="L229" t="s">
        <v>22</v>
      </c>
      <c r="M229">
        <v>49</v>
      </c>
    </row>
    <row r="230" spans="1:13" x14ac:dyDescent="0.25">
      <c r="A230" t="s">
        <v>120</v>
      </c>
      <c r="B230" t="s">
        <v>121</v>
      </c>
      <c r="C230" t="s">
        <v>207</v>
      </c>
      <c r="D230" t="s">
        <v>208</v>
      </c>
      <c r="E230" t="s">
        <v>209</v>
      </c>
      <c r="F230" t="s">
        <v>53</v>
      </c>
      <c r="G230" t="s">
        <v>54</v>
      </c>
      <c r="H230">
        <v>0</v>
      </c>
      <c r="I230">
        <v>1</v>
      </c>
      <c r="J230" t="s">
        <v>101</v>
      </c>
      <c r="K230" t="s">
        <v>210</v>
      </c>
      <c r="L230" t="s">
        <v>22</v>
      </c>
      <c r="M230">
        <v>49</v>
      </c>
    </row>
    <row r="231" spans="1:13" x14ac:dyDescent="0.25">
      <c r="A231" t="s">
        <v>120</v>
      </c>
      <c r="B231" t="s">
        <v>121</v>
      </c>
      <c r="C231" t="s">
        <v>207</v>
      </c>
      <c r="D231" t="s">
        <v>208</v>
      </c>
      <c r="E231" t="s">
        <v>209</v>
      </c>
      <c r="F231" t="s">
        <v>55</v>
      </c>
      <c r="G231" t="s">
        <v>56</v>
      </c>
      <c r="H231">
        <v>0</v>
      </c>
      <c r="I231">
        <v>1</v>
      </c>
      <c r="J231" t="s">
        <v>101</v>
      </c>
      <c r="K231" t="s">
        <v>210</v>
      </c>
      <c r="L231" t="s">
        <v>22</v>
      </c>
      <c r="M231">
        <v>49</v>
      </c>
    </row>
    <row r="232" spans="1:13" x14ac:dyDescent="0.25">
      <c r="A232" t="s">
        <v>120</v>
      </c>
      <c r="B232" t="s">
        <v>121</v>
      </c>
      <c r="C232" t="s">
        <v>207</v>
      </c>
      <c r="D232" t="s">
        <v>208</v>
      </c>
      <c r="E232" t="s">
        <v>209</v>
      </c>
      <c r="F232" t="s">
        <v>81</v>
      </c>
      <c r="G232" t="s">
        <v>82</v>
      </c>
      <c r="H232">
        <v>0</v>
      </c>
      <c r="I232">
        <v>1</v>
      </c>
      <c r="J232" t="s">
        <v>101</v>
      </c>
      <c r="K232" t="s">
        <v>210</v>
      </c>
      <c r="L232" t="s">
        <v>22</v>
      </c>
      <c r="M232">
        <v>49</v>
      </c>
    </row>
    <row r="233" spans="1:13" x14ac:dyDescent="0.25">
      <c r="A233" t="s">
        <v>120</v>
      </c>
      <c r="B233" t="s">
        <v>121</v>
      </c>
      <c r="C233" t="s">
        <v>207</v>
      </c>
      <c r="D233" t="s">
        <v>208</v>
      </c>
      <c r="E233" t="s">
        <v>209</v>
      </c>
      <c r="F233" t="s">
        <v>61</v>
      </c>
      <c r="G233" t="s">
        <v>62</v>
      </c>
      <c r="H233">
        <v>0</v>
      </c>
      <c r="I233">
        <v>2</v>
      </c>
      <c r="J233" t="s">
        <v>101</v>
      </c>
      <c r="K233" t="s">
        <v>210</v>
      </c>
      <c r="L233" t="s">
        <v>22</v>
      </c>
      <c r="M233">
        <v>49</v>
      </c>
    </row>
    <row r="234" spans="1:13" x14ac:dyDescent="0.25">
      <c r="A234" t="s">
        <v>120</v>
      </c>
      <c r="B234" t="s">
        <v>121</v>
      </c>
      <c r="C234" t="s">
        <v>207</v>
      </c>
      <c r="D234" t="s">
        <v>208</v>
      </c>
      <c r="E234" t="s">
        <v>209</v>
      </c>
      <c r="F234" t="s">
        <v>171</v>
      </c>
      <c r="G234" t="s">
        <v>172</v>
      </c>
      <c r="H234">
        <v>3</v>
      </c>
      <c r="I234">
        <v>0</v>
      </c>
      <c r="J234" t="s">
        <v>101</v>
      </c>
      <c r="K234" t="s">
        <v>210</v>
      </c>
      <c r="L234" t="s">
        <v>22</v>
      </c>
      <c r="M234">
        <v>49</v>
      </c>
    </row>
    <row r="235" spans="1:13" x14ac:dyDescent="0.25">
      <c r="A235" t="s">
        <v>120</v>
      </c>
      <c r="B235" t="s">
        <v>121</v>
      </c>
      <c r="C235" t="s">
        <v>207</v>
      </c>
      <c r="D235" t="s">
        <v>208</v>
      </c>
      <c r="E235" t="s">
        <v>209</v>
      </c>
      <c r="F235" t="s">
        <v>25</v>
      </c>
      <c r="G235" t="s">
        <v>26</v>
      </c>
      <c r="H235">
        <v>0</v>
      </c>
      <c r="I235">
        <v>3</v>
      </c>
      <c r="J235" t="s">
        <v>101</v>
      </c>
      <c r="K235" t="s">
        <v>210</v>
      </c>
      <c r="L235" t="s">
        <v>22</v>
      </c>
      <c r="M235">
        <v>49</v>
      </c>
    </row>
    <row r="236" spans="1:13" x14ac:dyDescent="0.25">
      <c r="A236" t="s">
        <v>120</v>
      </c>
      <c r="B236" t="s">
        <v>121</v>
      </c>
      <c r="C236" t="s">
        <v>207</v>
      </c>
      <c r="D236" t="s">
        <v>208</v>
      </c>
      <c r="E236" t="s">
        <v>209</v>
      </c>
      <c r="F236" t="s">
        <v>27</v>
      </c>
      <c r="G236" t="s">
        <v>28</v>
      </c>
      <c r="H236">
        <v>0</v>
      </c>
      <c r="I236">
        <v>3</v>
      </c>
      <c r="J236" t="s">
        <v>101</v>
      </c>
      <c r="K236" t="s">
        <v>210</v>
      </c>
      <c r="L236" t="s">
        <v>22</v>
      </c>
      <c r="M236">
        <v>49</v>
      </c>
    </row>
    <row r="237" spans="1:13" x14ac:dyDescent="0.25">
      <c r="A237" t="s">
        <v>120</v>
      </c>
      <c r="B237" t="s">
        <v>121</v>
      </c>
      <c r="C237" t="s">
        <v>207</v>
      </c>
      <c r="D237" t="s">
        <v>208</v>
      </c>
      <c r="E237" t="s">
        <v>209</v>
      </c>
      <c r="F237" t="s">
        <v>29</v>
      </c>
      <c r="G237" t="s">
        <v>30</v>
      </c>
      <c r="H237">
        <v>0</v>
      </c>
      <c r="I237">
        <v>3</v>
      </c>
      <c r="J237" t="s">
        <v>101</v>
      </c>
      <c r="K237" t="s">
        <v>210</v>
      </c>
      <c r="L237" t="s">
        <v>22</v>
      </c>
      <c r="M237">
        <v>49</v>
      </c>
    </row>
    <row r="238" spans="1:13" x14ac:dyDescent="0.25">
      <c r="A238" t="s">
        <v>83</v>
      </c>
      <c r="B238" t="s">
        <v>84</v>
      </c>
      <c r="C238" t="s">
        <v>203</v>
      </c>
      <c r="D238" t="s">
        <v>204</v>
      </c>
      <c r="E238" t="s">
        <v>205</v>
      </c>
      <c r="F238" t="s">
        <v>18</v>
      </c>
      <c r="G238" t="s">
        <v>19</v>
      </c>
      <c r="H238">
        <v>0</v>
      </c>
      <c r="I238">
        <v>1</v>
      </c>
      <c r="J238" t="s">
        <v>101</v>
      </c>
      <c r="K238" t="s">
        <v>206</v>
      </c>
      <c r="L238" t="s">
        <v>22</v>
      </c>
      <c r="M238">
        <v>29</v>
      </c>
    </row>
    <row r="239" spans="1:13" x14ac:dyDescent="0.25">
      <c r="A239" t="s">
        <v>83</v>
      </c>
      <c r="B239" t="s">
        <v>84</v>
      </c>
      <c r="C239" t="s">
        <v>203</v>
      </c>
      <c r="D239" t="s">
        <v>204</v>
      </c>
      <c r="E239" t="s">
        <v>205</v>
      </c>
      <c r="F239" t="s">
        <v>39</v>
      </c>
      <c r="G239" t="s">
        <v>40</v>
      </c>
      <c r="H239">
        <v>0</v>
      </c>
      <c r="I239">
        <v>1</v>
      </c>
      <c r="J239" t="s">
        <v>101</v>
      </c>
      <c r="K239" t="s">
        <v>206</v>
      </c>
      <c r="L239" t="s">
        <v>22</v>
      </c>
      <c r="M239">
        <v>29</v>
      </c>
    </row>
    <row r="240" spans="1:13" x14ac:dyDescent="0.25">
      <c r="A240" t="s">
        <v>83</v>
      </c>
      <c r="B240" t="s">
        <v>84</v>
      </c>
      <c r="C240" t="s">
        <v>203</v>
      </c>
      <c r="D240" t="s">
        <v>204</v>
      </c>
      <c r="E240" t="s">
        <v>205</v>
      </c>
      <c r="F240" t="s">
        <v>45</v>
      </c>
      <c r="G240" t="s">
        <v>46</v>
      </c>
      <c r="H240">
        <v>0</v>
      </c>
      <c r="I240">
        <v>4</v>
      </c>
      <c r="J240" t="s">
        <v>101</v>
      </c>
      <c r="K240" t="s">
        <v>206</v>
      </c>
      <c r="L240" t="s">
        <v>22</v>
      </c>
      <c r="M240">
        <v>29</v>
      </c>
    </row>
    <row r="241" spans="1:13" x14ac:dyDescent="0.25">
      <c r="A241" t="s">
        <v>83</v>
      </c>
      <c r="B241" t="s">
        <v>84</v>
      </c>
      <c r="C241" t="s">
        <v>203</v>
      </c>
      <c r="D241" t="s">
        <v>204</v>
      </c>
      <c r="E241" t="s">
        <v>205</v>
      </c>
      <c r="F241" t="s">
        <v>47</v>
      </c>
      <c r="G241" t="s">
        <v>48</v>
      </c>
      <c r="H241">
        <v>5</v>
      </c>
      <c r="I241">
        <v>0</v>
      </c>
      <c r="J241" t="s">
        <v>101</v>
      </c>
      <c r="K241" t="s">
        <v>206</v>
      </c>
      <c r="L241" t="s">
        <v>22</v>
      </c>
      <c r="M241">
        <v>29</v>
      </c>
    </row>
    <row r="242" spans="1:13" x14ac:dyDescent="0.25">
      <c r="A242" t="s">
        <v>83</v>
      </c>
      <c r="B242" t="s">
        <v>84</v>
      </c>
      <c r="C242" t="s">
        <v>203</v>
      </c>
      <c r="D242" t="s">
        <v>204</v>
      </c>
      <c r="E242" t="s">
        <v>205</v>
      </c>
      <c r="F242" t="s">
        <v>51</v>
      </c>
      <c r="G242" t="s">
        <v>52</v>
      </c>
      <c r="H242">
        <v>0</v>
      </c>
      <c r="I242">
        <v>4</v>
      </c>
      <c r="J242" t="s">
        <v>101</v>
      </c>
      <c r="K242" t="s">
        <v>206</v>
      </c>
      <c r="L242" t="s">
        <v>22</v>
      </c>
      <c r="M242">
        <v>29</v>
      </c>
    </row>
    <row r="243" spans="1:13" x14ac:dyDescent="0.25">
      <c r="A243" t="s">
        <v>83</v>
      </c>
      <c r="B243" t="s">
        <v>84</v>
      </c>
      <c r="C243" t="s">
        <v>203</v>
      </c>
      <c r="D243" t="s">
        <v>204</v>
      </c>
      <c r="E243" t="s">
        <v>205</v>
      </c>
      <c r="F243" t="s">
        <v>55</v>
      </c>
      <c r="G243" t="s">
        <v>56</v>
      </c>
      <c r="H243">
        <v>0</v>
      </c>
      <c r="I243">
        <v>1</v>
      </c>
      <c r="J243" t="s">
        <v>101</v>
      </c>
      <c r="K243" t="s">
        <v>206</v>
      </c>
      <c r="L243" t="s">
        <v>22</v>
      </c>
      <c r="M243">
        <v>29</v>
      </c>
    </row>
    <row r="244" spans="1:13" x14ac:dyDescent="0.25">
      <c r="A244" t="s">
        <v>83</v>
      </c>
      <c r="B244" t="s">
        <v>84</v>
      </c>
      <c r="C244" t="s">
        <v>203</v>
      </c>
      <c r="D244" t="s">
        <v>204</v>
      </c>
      <c r="E244" t="s">
        <v>205</v>
      </c>
      <c r="F244" t="s">
        <v>59</v>
      </c>
      <c r="G244" t="s">
        <v>60</v>
      </c>
      <c r="H244">
        <v>0</v>
      </c>
      <c r="I244">
        <v>5</v>
      </c>
      <c r="J244" t="s">
        <v>101</v>
      </c>
      <c r="K244" t="s">
        <v>206</v>
      </c>
      <c r="L244" t="s">
        <v>22</v>
      </c>
      <c r="M244">
        <v>29</v>
      </c>
    </row>
    <row r="245" spans="1:13" x14ac:dyDescent="0.25">
      <c r="A245" t="s">
        <v>83</v>
      </c>
      <c r="B245" t="s">
        <v>84</v>
      </c>
      <c r="C245" t="s">
        <v>203</v>
      </c>
      <c r="D245" t="s">
        <v>204</v>
      </c>
      <c r="E245" t="s">
        <v>205</v>
      </c>
      <c r="F245" t="s">
        <v>61</v>
      </c>
      <c r="G245" t="s">
        <v>62</v>
      </c>
      <c r="H245">
        <v>0</v>
      </c>
      <c r="I245">
        <v>1</v>
      </c>
      <c r="J245" t="s">
        <v>101</v>
      </c>
      <c r="K245" t="s">
        <v>206</v>
      </c>
      <c r="L245" t="s">
        <v>22</v>
      </c>
      <c r="M245">
        <v>29</v>
      </c>
    </row>
    <row r="246" spans="1:13" x14ac:dyDescent="0.25">
      <c r="A246" t="s">
        <v>83</v>
      </c>
      <c r="B246" t="s">
        <v>84</v>
      </c>
      <c r="C246" t="s">
        <v>203</v>
      </c>
      <c r="D246" t="s">
        <v>204</v>
      </c>
      <c r="E246" t="s">
        <v>205</v>
      </c>
      <c r="F246" t="s">
        <v>25</v>
      </c>
      <c r="G246" t="s">
        <v>26</v>
      </c>
      <c r="H246">
        <v>5</v>
      </c>
      <c r="I246">
        <v>0</v>
      </c>
      <c r="J246" t="s">
        <v>101</v>
      </c>
      <c r="K246" t="s">
        <v>206</v>
      </c>
      <c r="L246" t="s">
        <v>22</v>
      </c>
      <c r="M246">
        <v>29</v>
      </c>
    </row>
    <row r="247" spans="1:13" x14ac:dyDescent="0.25">
      <c r="A247" t="s">
        <v>83</v>
      </c>
      <c r="B247" t="s">
        <v>84</v>
      </c>
      <c r="C247" t="s">
        <v>203</v>
      </c>
      <c r="D247" t="s">
        <v>204</v>
      </c>
      <c r="E247" t="s">
        <v>205</v>
      </c>
      <c r="F247" t="s">
        <v>65</v>
      </c>
      <c r="G247" t="s">
        <v>66</v>
      </c>
      <c r="H247">
        <v>0</v>
      </c>
      <c r="I247">
        <v>7</v>
      </c>
      <c r="J247" t="s">
        <v>101</v>
      </c>
      <c r="K247" t="s">
        <v>206</v>
      </c>
      <c r="L247" t="s">
        <v>22</v>
      </c>
      <c r="M247">
        <v>29</v>
      </c>
    </row>
    <row r="248" spans="1:13" x14ac:dyDescent="0.25">
      <c r="A248" t="s">
        <v>83</v>
      </c>
      <c r="B248" t="s">
        <v>84</v>
      </c>
      <c r="C248" t="s">
        <v>203</v>
      </c>
      <c r="D248" t="s">
        <v>204</v>
      </c>
      <c r="E248" t="s">
        <v>205</v>
      </c>
      <c r="F248" t="s">
        <v>67</v>
      </c>
      <c r="G248" t="s">
        <v>68</v>
      </c>
      <c r="H248">
        <v>0</v>
      </c>
      <c r="I248">
        <v>1</v>
      </c>
      <c r="J248" t="s">
        <v>101</v>
      </c>
      <c r="K248" t="s">
        <v>206</v>
      </c>
      <c r="L248" t="s">
        <v>22</v>
      </c>
      <c r="M248">
        <v>29</v>
      </c>
    </row>
    <row r="249" spans="1:13" x14ac:dyDescent="0.25">
      <c r="A249" t="s">
        <v>83</v>
      </c>
      <c r="B249" t="s">
        <v>84</v>
      </c>
      <c r="C249" t="s">
        <v>203</v>
      </c>
      <c r="D249" t="s">
        <v>204</v>
      </c>
      <c r="E249" t="s">
        <v>205</v>
      </c>
      <c r="F249" t="s">
        <v>29</v>
      </c>
      <c r="G249" t="s">
        <v>30</v>
      </c>
      <c r="H249">
        <v>0</v>
      </c>
      <c r="I249">
        <v>1</v>
      </c>
      <c r="J249" t="s">
        <v>101</v>
      </c>
      <c r="K249" t="s">
        <v>206</v>
      </c>
      <c r="L249" t="s">
        <v>22</v>
      </c>
      <c r="M249">
        <v>29</v>
      </c>
    </row>
    <row r="250" spans="1:13" x14ac:dyDescent="0.25">
      <c r="A250" t="s">
        <v>83</v>
      </c>
      <c r="B250" t="s">
        <v>84</v>
      </c>
      <c r="C250" t="s">
        <v>203</v>
      </c>
      <c r="D250" t="s">
        <v>204</v>
      </c>
      <c r="E250" t="s">
        <v>205</v>
      </c>
      <c r="F250" t="s">
        <v>71</v>
      </c>
      <c r="G250" t="s">
        <v>72</v>
      </c>
      <c r="H250">
        <v>0</v>
      </c>
      <c r="I250">
        <v>2</v>
      </c>
      <c r="J250" t="s">
        <v>101</v>
      </c>
      <c r="K250" t="s">
        <v>206</v>
      </c>
      <c r="L250" t="s">
        <v>22</v>
      </c>
      <c r="M250">
        <v>29</v>
      </c>
    </row>
    <row r="251" spans="1:13" x14ac:dyDescent="0.25">
      <c r="A251" t="s">
        <v>103</v>
      </c>
      <c r="B251" t="s">
        <v>104</v>
      </c>
      <c r="C251" t="s">
        <v>199</v>
      </c>
      <c r="D251" t="s">
        <v>200</v>
      </c>
      <c r="E251" t="s">
        <v>201</v>
      </c>
      <c r="F251" t="s">
        <v>39</v>
      </c>
      <c r="G251" t="s">
        <v>40</v>
      </c>
      <c r="H251">
        <v>0</v>
      </c>
      <c r="I251">
        <v>1</v>
      </c>
      <c r="J251" t="s">
        <v>101</v>
      </c>
      <c r="K251" t="s">
        <v>202</v>
      </c>
      <c r="L251" t="s">
        <v>22</v>
      </c>
      <c r="M251">
        <v>24</v>
      </c>
    </row>
    <row r="252" spans="1:13" x14ac:dyDescent="0.25">
      <c r="A252" t="s">
        <v>103</v>
      </c>
      <c r="B252" t="s">
        <v>104</v>
      </c>
      <c r="C252" t="s">
        <v>199</v>
      </c>
      <c r="D252" t="s">
        <v>200</v>
      </c>
      <c r="E252" t="s">
        <v>201</v>
      </c>
      <c r="F252" t="s">
        <v>45</v>
      </c>
      <c r="G252" t="s">
        <v>46</v>
      </c>
      <c r="H252">
        <v>0</v>
      </c>
      <c r="I252">
        <v>3</v>
      </c>
      <c r="J252" t="s">
        <v>101</v>
      </c>
      <c r="K252" t="s">
        <v>202</v>
      </c>
      <c r="L252" t="s">
        <v>22</v>
      </c>
      <c r="M252">
        <v>24</v>
      </c>
    </row>
    <row r="253" spans="1:13" x14ac:dyDescent="0.25">
      <c r="A253" t="s">
        <v>103</v>
      </c>
      <c r="B253" t="s">
        <v>104</v>
      </c>
      <c r="C253" t="s">
        <v>199</v>
      </c>
      <c r="D253" t="s">
        <v>200</v>
      </c>
      <c r="E253" t="s">
        <v>201</v>
      </c>
      <c r="F253" t="s">
        <v>51</v>
      </c>
      <c r="G253" t="s">
        <v>52</v>
      </c>
      <c r="H253">
        <v>0</v>
      </c>
      <c r="I253">
        <v>4</v>
      </c>
      <c r="J253" t="s">
        <v>101</v>
      </c>
      <c r="K253" t="s">
        <v>202</v>
      </c>
      <c r="L253" t="s">
        <v>22</v>
      </c>
      <c r="M253">
        <v>24</v>
      </c>
    </row>
    <row r="254" spans="1:13" x14ac:dyDescent="0.25">
      <c r="A254" t="s">
        <v>103</v>
      </c>
      <c r="B254" t="s">
        <v>104</v>
      </c>
      <c r="C254" t="s">
        <v>199</v>
      </c>
      <c r="D254" t="s">
        <v>200</v>
      </c>
      <c r="E254" t="s">
        <v>201</v>
      </c>
      <c r="F254" t="s">
        <v>53</v>
      </c>
      <c r="G254" t="s">
        <v>54</v>
      </c>
      <c r="H254">
        <v>5</v>
      </c>
      <c r="I254">
        <v>0</v>
      </c>
      <c r="J254" t="s">
        <v>101</v>
      </c>
      <c r="K254" t="s">
        <v>202</v>
      </c>
      <c r="L254" t="s">
        <v>22</v>
      </c>
      <c r="M254">
        <v>24</v>
      </c>
    </row>
    <row r="255" spans="1:13" x14ac:dyDescent="0.25">
      <c r="A255" t="s">
        <v>103</v>
      </c>
      <c r="B255" t="s">
        <v>104</v>
      </c>
      <c r="C255" t="s">
        <v>199</v>
      </c>
      <c r="D255" t="s">
        <v>200</v>
      </c>
      <c r="E255" t="s">
        <v>201</v>
      </c>
      <c r="F255" t="s">
        <v>59</v>
      </c>
      <c r="G255" t="s">
        <v>60</v>
      </c>
      <c r="H255">
        <v>0</v>
      </c>
      <c r="I255">
        <v>2</v>
      </c>
      <c r="J255" t="s">
        <v>101</v>
      </c>
      <c r="K255" t="s">
        <v>202</v>
      </c>
      <c r="L255" t="s">
        <v>22</v>
      </c>
      <c r="M255">
        <v>24</v>
      </c>
    </row>
    <row r="256" spans="1:13" x14ac:dyDescent="0.25">
      <c r="A256" t="s">
        <v>103</v>
      </c>
      <c r="B256" t="s">
        <v>104</v>
      </c>
      <c r="C256" t="s">
        <v>199</v>
      </c>
      <c r="D256" t="s">
        <v>200</v>
      </c>
      <c r="E256" t="s">
        <v>201</v>
      </c>
      <c r="F256" t="s">
        <v>65</v>
      </c>
      <c r="G256" t="s">
        <v>66</v>
      </c>
      <c r="H256">
        <v>0</v>
      </c>
      <c r="I256">
        <v>3</v>
      </c>
      <c r="J256" t="s">
        <v>101</v>
      </c>
      <c r="K256" t="s">
        <v>202</v>
      </c>
      <c r="L256" t="s">
        <v>22</v>
      </c>
      <c r="M256">
        <v>24</v>
      </c>
    </row>
    <row r="257" spans="1:13" x14ac:dyDescent="0.25">
      <c r="A257" t="s">
        <v>103</v>
      </c>
      <c r="B257" t="s">
        <v>104</v>
      </c>
      <c r="C257" t="s">
        <v>199</v>
      </c>
      <c r="D257" t="s">
        <v>200</v>
      </c>
      <c r="E257" t="s">
        <v>201</v>
      </c>
      <c r="F257" t="s">
        <v>67</v>
      </c>
      <c r="G257" t="s">
        <v>68</v>
      </c>
      <c r="H257">
        <v>0</v>
      </c>
      <c r="I257">
        <v>2</v>
      </c>
      <c r="J257" t="s">
        <v>101</v>
      </c>
      <c r="K257" t="s">
        <v>202</v>
      </c>
      <c r="L257" t="s">
        <v>22</v>
      </c>
      <c r="M257">
        <v>24</v>
      </c>
    </row>
    <row r="258" spans="1:13" x14ac:dyDescent="0.25">
      <c r="A258" t="s">
        <v>73</v>
      </c>
      <c r="B258" t="s">
        <v>74</v>
      </c>
      <c r="C258" t="s">
        <v>195</v>
      </c>
      <c r="D258" t="s">
        <v>196</v>
      </c>
      <c r="E258" t="s">
        <v>197</v>
      </c>
      <c r="F258" t="s">
        <v>51</v>
      </c>
      <c r="G258" t="s">
        <v>52</v>
      </c>
      <c r="H258">
        <v>0</v>
      </c>
      <c r="I258">
        <v>4</v>
      </c>
      <c r="J258" t="s">
        <v>101</v>
      </c>
      <c r="K258" t="s">
        <v>198</v>
      </c>
      <c r="L258" t="s">
        <v>22</v>
      </c>
      <c r="M258">
        <v>35</v>
      </c>
    </row>
    <row r="259" spans="1:13" x14ac:dyDescent="0.25">
      <c r="A259" t="s">
        <v>73</v>
      </c>
      <c r="B259" t="s">
        <v>74</v>
      </c>
      <c r="C259" t="s">
        <v>195</v>
      </c>
      <c r="D259" t="s">
        <v>196</v>
      </c>
      <c r="E259" t="s">
        <v>197</v>
      </c>
      <c r="F259" t="s">
        <v>59</v>
      </c>
      <c r="G259" t="s">
        <v>60</v>
      </c>
      <c r="H259">
        <v>0</v>
      </c>
      <c r="I259">
        <v>2</v>
      </c>
      <c r="J259" t="s">
        <v>101</v>
      </c>
      <c r="K259" t="s">
        <v>198</v>
      </c>
      <c r="L259" t="s">
        <v>22</v>
      </c>
      <c r="M259">
        <v>35</v>
      </c>
    </row>
    <row r="260" spans="1:13" x14ac:dyDescent="0.25">
      <c r="A260" t="s">
        <v>73</v>
      </c>
      <c r="B260" t="s">
        <v>74</v>
      </c>
      <c r="C260" t="s">
        <v>195</v>
      </c>
      <c r="D260" t="s">
        <v>196</v>
      </c>
      <c r="E260" t="s">
        <v>197</v>
      </c>
      <c r="F260" t="s">
        <v>61</v>
      </c>
      <c r="G260" t="s">
        <v>62</v>
      </c>
      <c r="H260">
        <v>5</v>
      </c>
      <c r="I260">
        <v>1</v>
      </c>
      <c r="J260" t="s">
        <v>101</v>
      </c>
      <c r="K260" t="s">
        <v>198</v>
      </c>
      <c r="L260" t="s">
        <v>22</v>
      </c>
      <c r="M260">
        <v>35</v>
      </c>
    </row>
    <row r="261" spans="1:13" x14ac:dyDescent="0.25">
      <c r="A261" t="s">
        <v>73</v>
      </c>
      <c r="B261" t="s">
        <v>74</v>
      </c>
      <c r="C261" t="s">
        <v>195</v>
      </c>
      <c r="D261" t="s">
        <v>196</v>
      </c>
      <c r="E261" t="s">
        <v>197</v>
      </c>
      <c r="F261" t="s">
        <v>63</v>
      </c>
      <c r="G261" t="s">
        <v>64</v>
      </c>
      <c r="H261">
        <v>4</v>
      </c>
      <c r="I261">
        <v>0</v>
      </c>
      <c r="J261" t="s">
        <v>101</v>
      </c>
      <c r="K261" t="s">
        <v>198</v>
      </c>
      <c r="L261" t="s">
        <v>22</v>
      </c>
      <c r="M261">
        <v>35</v>
      </c>
    </row>
    <row r="262" spans="1:13" x14ac:dyDescent="0.25">
      <c r="A262" t="s">
        <v>73</v>
      </c>
      <c r="B262" t="s">
        <v>74</v>
      </c>
      <c r="C262" t="s">
        <v>195</v>
      </c>
      <c r="D262" t="s">
        <v>196</v>
      </c>
      <c r="E262" t="s">
        <v>197</v>
      </c>
      <c r="F262" t="s">
        <v>65</v>
      </c>
      <c r="G262" t="s">
        <v>66</v>
      </c>
      <c r="H262">
        <v>0</v>
      </c>
      <c r="I262">
        <v>4</v>
      </c>
      <c r="J262" t="s">
        <v>101</v>
      </c>
      <c r="K262" t="s">
        <v>198</v>
      </c>
      <c r="L262" t="s">
        <v>22</v>
      </c>
      <c r="M262">
        <v>35</v>
      </c>
    </row>
    <row r="263" spans="1:13" x14ac:dyDescent="0.25">
      <c r="A263" t="s">
        <v>73</v>
      </c>
      <c r="B263" t="s">
        <v>74</v>
      </c>
      <c r="C263" t="s">
        <v>195</v>
      </c>
      <c r="D263" t="s">
        <v>196</v>
      </c>
      <c r="E263" t="s">
        <v>197</v>
      </c>
      <c r="F263" t="s">
        <v>69</v>
      </c>
      <c r="G263" t="s">
        <v>70</v>
      </c>
      <c r="H263">
        <v>6</v>
      </c>
      <c r="I263">
        <v>0</v>
      </c>
      <c r="J263" t="s">
        <v>101</v>
      </c>
      <c r="K263" t="s">
        <v>198</v>
      </c>
      <c r="L263" t="s">
        <v>22</v>
      </c>
      <c r="M263">
        <v>35</v>
      </c>
    </row>
    <row r="264" spans="1:13" x14ac:dyDescent="0.25">
      <c r="A264" t="s">
        <v>73</v>
      </c>
      <c r="B264" t="s">
        <v>74</v>
      </c>
      <c r="C264" t="s">
        <v>195</v>
      </c>
      <c r="D264" t="s">
        <v>196</v>
      </c>
      <c r="E264" t="s">
        <v>197</v>
      </c>
      <c r="F264" t="s">
        <v>71</v>
      </c>
      <c r="G264" t="s">
        <v>72</v>
      </c>
      <c r="H264">
        <v>0</v>
      </c>
      <c r="I264">
        <v>1</v>
      </c>
      <c r="J264" t="s">
        <v>101</v>
      </c>
      <c r="K264" t="s">
        <v>198</v>
      </c>
      <c r="L264" t="s">
        <v>22</v>
      </c>
      <c r="M264">
        <v>35</v>
      </c>
    </row>
    <row r="265" spans="1:13" x14ac:dyDescent="0.25">
      <c r="A265" t="s">
        <v>152</v>
      </c>
      <c r="B265" t="s">
        <v>153</v>
      </c>
      <c r="C265" t="s">
        <v>191</v>
      </c>
      <c r="D265" t="s">
        <v>192</v>
      </c>
      <c r="E265" t="s">
        <v>193</v>
      </c>
      <c r="F265" t="s">
        <v>45</v>
      </c>
      <c r="G265" t="s">
        <v>46</v>
      </c>
      <c r="H265">
        <v>0</v>
      </c>
      <c r="I265">
        <v>1</v>
      </c>
      <c r="J265" t="s">
        <v>20</v>
      </c>
      <c r="K265" t="s">
        <v>194</v>
      </c>
      <c r="L265" t="s">
        <v>22</v>
      </c>
      <c r="M265">
        <v>11</v>
      </c>
    </row>
    <row r="266" spans="1:13" x14ac:dyDescent="0.25">
      <c r="A266" t="s">
        <v>152</v>
      </c>
      <c r="B266" t="s">
        <v>153</v>
      </c>
      <c r="C266" t="s">
        <v>191</v>
      </c>
      <c r="D266" t="s">
        <v>192</v>
      </c>
      <c r="E266" t="s">
        <v>193</v>
      </c>
      <c r="F266" t="s">
        <v>51</v>
      </c>
      <c r="G266" t="s">
        <v>52</v>
      </c>
      <c r="H266">
        <v>0</v>
      </c>
      <c r="I266">
        <v>1</v>
      </c>
      <c r="J266" t="s">
        <v>20</v>
      </c>
      <c r="K266" t="s">
        <v>194</v>
      </c>
      <c r="L266" t="s">
        <v>22</v>
      </c>
      <c r="M266">
        <v>11</v>
      </c>
    </row>
    <row r="267" spans="1:13" x14ac:dyDescent="0.25">
      <c r="A267" t="s">
        <v>152</v>
      </c>
      <c r="B267" t="s">
        <v>153</v>
      </c>
      <c r="C267" t="s">
        <v>191</v>
      </c>
      <c r="D267" t="s">
        <v>192</v>
      </c>
      <c r="E267" t="s">
        <v>193</v>
      </c>
      <c r="F267" t="s">
        <v>65</v>
      </c>
      <c r="G267" t="s">
        <v>66</v>
      </c>
      <c r="H267">
        <v>0</v>
      </c>
      <c r="I267">
        <v>1</v>
      </c>
      <c r="J267" t="s">
        <v>20</v>
      </c>
      <c r="K267" t="s">
        <v>194</v>
      </c>
      <c r="L267" t="s">
        <v>22</v>
      </c>
      <c r="M267">
        <v>11</v>
      </c>
    </row>
    <row r="268" spans="1:13" x14ac:dyDescent="0.25">
      <c r="A268" t="s">
        <v>182</v>
      </c>
      <c r="B268" t="s">
        <v>183</v>
      </c>
      <c r="C268" t="s">
        <v>184</v>
      </c>
      <c r="D268" t="s">
        <v>185</v>
      </c>
      <c r="E268" t="s">
        <v>186</v>
      </c>
      <c r="F268" t="s">
        <v>18</v>
      </c>
      <c r="G268" t="s">
        <v>19</v>
      </c>
      <c r="H268">
        <v>0</v>
      </c>
      <c r="I268">
        <v>2</v>
      </c>
      <c r="J268" t="s">
        <v>20</v>
      </c>
      <c r="K268" t="s">
        <v>187</v>
      </c>
      <c r="L268" t="s">
        <v>22</v>
      </c>
      <c r="M268">
        <v>39</v>
      </c>
    </row>
    <row r="269" spans="1:13" x14ac:dyDescent="0.25">
      <c r="A269" t="s">
        <v>182</v>
      </c>
      <c r="B269" t="s">
        <v>183</v>
      </c>
      <c r="C269" t="s">
        <v>184</v>
      </c>
      <c r="D269" t="s">
        <v>185</v>
      </c>
      <c r="E269" t="s">
        <v>186</v>
      </c>
      <c r="F269" t="s">
        <v>79</v>
      </c>
      <c r="G269" t="s">
        <v>80</v>
      </c>
      <c r="H269">
        <v>5</v>
      </c>
      <c r="I269">
        <v>0</v>
      </c>
      <c r="J269" t="s">
        <v>20</v>
      </c>
      <c r="K269" t="s">
        <v>187</v>
      </c>
      <c r="L269" t="s">
        <v>22</v>
      </c>
      <c r="M269">
        <v>39</v>
      </c>
    </row>
    <row r="270" spans="1:13" x14ac:dyDescent="0.25">
      <c r="A270" t="s">
        <v>182</v>
      </c>
      <c r="B270" t="s">
        <v>183</v>
      </c>
      <c r="C270" t="s">
        <v>184</v>
      </c>
      <c r="D270" t="s">
        <v>185</v>
      </c>
      <c r="E270" t="s">
        <v>186</v>
      </c>
      <c r="F270" t="s">
        <v>39</v>
      </c>
      <c r="G270" t="s">
        <v>40</v>
      </c>
      <c r="H270">
        <v>0</v>
      </c>
      <c r="I270">
        <v>1</v>
      </c>
      <c r="J270" t="s">
        <v>20</v>
      </c>
      <c r="K270" t="s">
        <v>187</v>
      </c>
      <c r="L270" t="s">
        <v>22</v>
      </c>
      <c r="M270">
        <v>39</v>
      </c>
    </row>
    <row r="271" spans="1:13" x14ac:dyDescent="0.25">
      <c r="A271" t="s">
        <v>182</v>
      </c>
      <c r="B271" t="s">
        <v>183</v>
      </c>
      <c r="C271" t="s">
        <v>184</v>
      </c>
      <c r="D271" t="s">
        <v>185</v>
      </c>
      <c r="E271" t="s">
        <v>186</v>
      </c>
      <c r="F271" t="s">
        <v>43</v>
      </c>
      <c r="G271" t="s">
        <v>44</v>
      </c>
      <c r="H271">
        <v>5</v>
      </c>
      <c r="I271">
        <v>0</v>
      </c>
      <c r="J271" t="s">
        <v>20</v>
      </c>
      <c r="K271" t="s">
        <v>187</v>
      </c>
      <c r="L271" t="s">
        <v>22</v>
      </c>
      <c r="M271">
        <v>39</v>
      </c>
    </row>
    <row r="272" spans="1:13" x14ac:dyDescent="0.25">
      <c r="A272" t="s">
        <v>182</v>
      </c>
      <c r="B272" t="s">
        <v>183</v>
      </c>
      <c r="C272" t="s">
        <v>184</v>
      </c>
      <c r="D272" t="s">
        <v>185</v>
      </c>
      <c r="E272" t="s">
        <v>186</v>
      </c>
      <c r="F272" t="s">
        <v>45</v>
      </c>
      <c r="G272" t="s">
        <v>46</v>
      </c>
      <c r="H272">
        <v>0</v>
      </c>
      <c r="I272">
        <v>3</v>
      </c>
      <c r="J272" t="s">
        <v>20</v>
      </c>
      <c r="K272" t="s">
        <v>187</v>
      </c>
      <c r="L272" t="s">
        <v>22</v>
      </c>
      <c r="M272">
        <v>39</v>
      </c>
    </row>
    <row r="273" spans="1:13" x14ac:dyDescent="0.25">
      <c r="A273" t="s">
        <v>182</v>
      </c>
      <c r="B273" t="s">
        <v>183</v>
      </c>
      <c r="C273" t="s">
        <v>184</v>
      </c>
      <c r="D273" t="s">
        <v>185</v>
      </c>
      <c r="E273" t="s">
        <v>186</v>
      </c>
      <c r="F273" t="s">
        <v>49</v>
      </c>
      <c r="G273" t="s">
        <v>50</v>
      </c>
      <c r="H273">
        <v>5</v>
      </c>
      <c r="I273">
        <v>0</v>
      </c>
      <c r="J273" t="s">
        <v>20</v>
      </c>
      <c r="K273" t="s">
        <v>187</v>
      </c>
      <c r="L273" t="s">
        <v>22</v>
      </c>
      <c r="M273">
        <v>39</v>
      </c>
    </row>
    <row r="274" spans="1:13" x14ac:dyDescent="0.25">
      <c r="A274" t="s">
        <v>182</v>
      </c>
      <c r="B274" t="s">
        <v>183</v>
      </c>
      <c r="C274" t="s">
        <v>184</v>
      </c>
      <c r="D274" t="s">
        <v>185</v>
      </c>
      <c r="E274" t="s">
        <v>186</v>
      </c>
      <c r="F274" t="s">
        <v>51</v>
      </c>
      <c r="G274" t="s">
        <v>52</v>
      </c>
      <c r="H274">
        <v>0</v>
      </c>
      <c r="I274">
        <v>8</v>
      </c>
      <c r="J274" t="s">
        <v>20</v>
      </c>
      <c r="K274" t="s">
        <v>187</v>
      </c>
      <c r="L274" t="s">
        <v>22</v>
      </c>
      <c r="M274">
        <v>39</v>
      </c>
    </row>
    <row r="275" spans="1:13" x14ac:dyDescent="0.25">
      <c r="A275" t="s">
        <v>182</v>
      </c>
      <c r="B275" t="s">
        <v>183</v>
      </c>
      <c r="C275" t="s">
        <v>184</v>
      </c>
      <c r="D275" t="s">
        <v>185</v>
      </c>
      <c r="E275" t="s">
        <v>186</v>
      </c>
      <c r="F275" t="s">
        <v>53</v>
      </c>
      <c r="G275" t="s">
        <v>54</v>
      </c>
      <c r="H275">
        <v>0</v>
      </c>
      <c r="I275">
        <v>1</v>
      </c>
      <c r="J275" t="s">
        <v>20</v>
      </c>
      <c r="K275" t="s">
        <v>187</v>
      </c>
      <c r="L275" t="s">
        <v>22</v>
      </c>
      <c r="M275">
        <v>39</v>
      </c>
    </row>
    <row r="276" spans="1:13" x14ac:dyDescent="0.25">
      <c r="A276" t="s">
        <v>182</v>
      </c>
      <c r="B276" t="s">
        <v>183</v>
      </c>
      <c r="C276" t="s">
        <v>184</v>
      </c>
      <c r="D276" t="s">
        <v>185</v>
      </c>
      <c r="E276" t="s">
        <v>186</v>
      </c>
      <c r="F276" t="s">
        <v>55</v>
      </c>
      <c r="G276" t="s">
        <v>56</v>
      </c>
      <c r="H276">
        <v>5</v>
      </c>
      <c r="I276">
        <v>0</v>
      </c>
      <c r="J276" t="s">
        <v>20</v>
      </c>
      <c r="K276" t="s">
        <v>187</v>
      </c>
      <c r="L276" t="s">
        <v>22</v>
      </c>
      <c r="M276">
        <v>39</v>
      </c>
    </row>
    <row r="277" spans="1:13" x14ac:dyDescent="0.25">
      <c r="A277" t="s">
        <v>182</v>
      </c>
      <c r="B277" t="s">
        <v>183</v>
      </c>
      <c r="C277" t="s">
        <v>184</v>
      </c>
      <c r="D277" t="s">
        <v>185</v>
      </c>
      <c r="E277" t="s">
        <v>186</v>
      </c>
      <c r="F277" t="s">
        <v>81</v>
      </c>
      <c r="G277" t="s">
        <v>82</v>
      </c>
      <c r="H277">
        <v>5</v>
      </c>
      <c r="I277">
        <v>0</v>
      </c>
      <c r="J277" t="s">
        <v>20</v>
      </c>
      <c r="K277" t="s">
        <v>187</v>
      </c>
      <c r="L277" t="s">
        <v>22</v>
      </c>
      <c r="M277">
        <v>39</v>
      </c>
    </row>
    <row r="278" spans="1:13" x14ac:dyDescent="0.25">
      <c r="A278" t="s">
        <v>182</v>
      </c>
      <c r="B278" t="s">
        <v>183</v>
      </c>
      <c r="C278" t="s">
        <v>184</v>
      </c>
      <c r="D278" t="s">
        <v>185</v>
      </c>
      <c r="E278" t="s">
        <v>186</v>
      </c>
      <c r="F278" t="s">
        <v>59</v>
      </c>
      <c r="G278" t="s">
        <v>60</v>
      </c>
      <c r="H278">
        <v>0</v>
      </c>
      <c r="I278">
        <v>3</v>
      </c>
      <c r="J278" t="s">
        <v>20</v>
      </c>
      <c r="K278" t="s">
        <v>187</v>
      </c>
      <c r="L278" t="s">
        <v>22</v>
      </c>
      <c r="M278">
        <v>39</v>
      </c>
    </row>
    <row r="279" spans="1:13" x14ac:dyDescent="0.25">
      <c r="A279" t="s">
        <v>182</v>
      </c>
      <c r="B279" t="s">
        <v>183</v>
      </c>
      <c r="C279" t="s">
        <v>184</v>
      </c>
      <c r="D279" t="s">
        <v>185</v>
      </c>
      <c r="E279" t="s">
        <v>186</v>
      </c>
      <c r="F279" t="s">
        <v>61</v>
      </c>
      <c r="G279" t="s">
        <v>62</v>
      </c>
      <c r="H279">
        <v>5</v>
      </c>
      <c r="I279">
        <v>0</v>
      </c>
      <c r="J279" t="s">
        <v>20</v>
      </c>
      <c r="K279" t="s">
        <v>187</v>
      </c>
      <c r="L279" t="s">
        <v>22</v>
      </c>
      <c r="M279">
        <v>39</v>
      </c>
    </row>
    <row r="280" spans="1:13" x14ac:dyDescent="0.25">
      <c r="A280" t="s">
        <v>182</v>
      </c>
      <c r="B280" t="s">
        <v>183</v>
      </c>
      <c r="C280" t="s">
        <v>184</v>
      </c>
      <c r="D280" t="s">
        <v>185</v>
      </c>
      <c r="E280" t="s">
        <v>186</v>
      </c>
      <c r="F280" t="s">
        <v>65</v>
      </c>
      <c r="G280" t="s">
        <v>66</v>
      </c>
      <c r="H280">
        <v>0</v>
      </c>
      <c r="I280">
        <v>7</v>
      </c>
      <c r="J280" t="s">
        <v>20</v>
      </c>
      <c r="K280" t="s">
        <v>187</v>
      </c>
      <c r="L280" t="s">
        <v>22</v>
      </c>
      <c r="M280">
        <v>39</v>
      </c>
    </row>
    <row r="281" spans="1:13" x14ac:dyDescent="0.25">
      <c r="A281" t="s">
        <v>182</v>
      </c>
      <c r="B281" t="s">
        <v>183</v>
      </c>
      <c r="C281" t="s">
        <v>184</v>
      </c>
      <c r="D281" t="s">
        <v>185</v>
      </c>
      <c r="E281" t="s">
        <v>186</v>
      </c>
      <c r="F281" t="s">
        <v>67</v>
      </c>
      <c r="G281" t="s">
        <v>68</v>
      </c>
      <c r="H281">
        <v>0</v>
      </c>
      <c r="I281">
        <v>1</v>
      </c>
      <c r="J281" t="s">
        <v>20</v>
      </c>
      <c r="K281" t="s">
        <v>187</v>
      </c>
      <c r="L281" t="s">
        <v>22</v>
      </c>
      <c r="M281">
        <v>39</v>
      </c>
    </row>
    <row r="282" spans="1:13" x14ac:dyDescent="0.25">
      <c r="A282" t="s">
        <v>182</v>
      </c>
      <c r="B282" t="s">
        <v>183</v>
      </c>
      <c r="C282" t="s">
        <v>184</v>
      </c>
      <c r="D282" t="s">
        <v>185</v>
      </c>
      <c r="E282" t="s">
        <v>186</v>
      </c>
      <c r="F282" t="s">
        <v>29</v>
      </c>
      <c r="G282" t="s">
        <v>30</v>
      </c>
      <c r="H282">
        <v>5</v>
      </c>
      <c r="I282">
        <v>0</v>
      </c>
      <c r="J282" t="s">
        <v>20</v>
      </c>
      <c r="K282" t="s">
        <v>187</v>
      </c>
      <c r="L282" t="s">
        <v>22</v>
      </c>
      <c r="M282">
        <v>39</v>
      </c>
    </row>
    <row r="283" spans="1:13" x14ac:dyDescent="0.25">
      <c r="A283" t="s">
        <v>182</v>
      </c>
      <c r="B283" t="s">
        <v>183</v>
      </c>
      <c r="C283" t="s">
        <v>184</v>
      </c>
      <c r="D283" t="s">
        <v>185</v>
      </c>
      <c r="E283" t="s">
        <v>186</v>
      </c>
      <c r="F283" t="s">
        <v>69</v>
      </c>
      <c r="G283" t="s">
        <v>70</v>
      </c>
      <c r="H283">
        <v>2</v>
      </c>
      <c r="I283">
        <v>0</v>
      </c>
      <c r="J283" t="s">
        <v>20</v>
      </c>
      <c r="K283" t="s">
        <v>187</v>
      </c>
      <c r="L283" t="s">
        <v>22</v>
      </c>
      <c r="M283">
        <v>39</v>
      </c>
    </row>
    <row r="284" spans="1:13" x14ac:dyDescent="0.25">
      <c r="A284" t="s">
        <v>182</v>
      </c>
      <c r="B284" t="s">
        <v>183</v>
      </c>
      <c r="C284" t="s">
        <v>184</v>
      </c>
      <c r="D284" t="s">
        <v>185</v>
      </c>
      <c r="E284" t="s">
        <v>186</v>
      </c>
      <c r="F284" t="s">
        <v>71</v>
      </c>
      <c r="G284" t="s">
        <v>72</v>
      </c>
      <c r="H284">
        <v>0</v>
      </c>
      <c r="I284">
        <v>3</v>
      </c>
      <c r="J284" t="s">
        <v>20</v>
      </c>
      <c r="K284" t="s">
        <v>187</v>
      </c>
      <c r="L284" t="s">
        <v>22</v>
      </c>
      <c r="M284">
        <v>39</v>
      </c>
    </row>
    <row r="285" spans="1:13" x14ac:dyDescent="0.25">
      <c r="A285" t="s">
        <v>83</v>
      </c>
      <c r="B285" t="s">
        <v>84</v>
      </c>
      <c r="C285" t="s">
        <v>188</v>
      </c>
      <c r="D285" t="s">
        <v>189</v>
      </c>
      <c r="E285" t="s">
        <v>190</v>
      </c>
      <c r="F285" t="s">
        <v>18</v>
      </c>
      <c r="G285" t="s">
        <v>19</v>
      </c>
      <c r="H285">
        <v>0</v>
      </c>
      <c r="I285">
        <v>7</v>
      </c>
      <c r="J285" t="s">
        <v>101</v>
      </c>
      <c r="K285" t="s">
        <v>187</v>
      </c>
      <c r="L285" t="s">
        <v>22</v>
      </c>
      <c r="M285">
        <v>27</v>
      </c>
    </row>
    <row r="286" spans="1:13" x14ac:dyDescent="0.25">
      <c r="A286" t="s">
        <v>83</v>
      </c>
      <c r="B286" t="s">
        <v>84</v>
      </c>
      <c r="C286" t="s">
        <v>188</v>
      </c>
      <c r="D286" t="s">
        <v>189</v>
      </c>
      <c r="E286" t="s">
        <v>190</v>
      </c>
      <c r="F286" t="s">
        <v>43</v>
      </c>
      <c r="G286" t="s">
        <v>44</v>
      </c>
      <c r="H286">
        <v>0</v>
      </c>
      <c r="I286">
        <v>1</v>
      </c>
      <c r="J286" t="s">
        <v>101</v>
      </c>
      <c r="K286" t="s">
        <v>187</v>
      </c>
      <c r="L286" t="s">
        <v>22</v>
      </c>
      <c r="M286">
        <v>27</v>
      </c>
    </row>
    <row r="287" spans="1:13" x14ac:dyDescent="0.25">
      <c r="A287" t="s">
        <v>83</v>
      </c>
      <c r="B287" t="s">
        <v>84</v>
      </c>
      <c r="C287" t="s">
        <v>188</v>
      </c>
      <c r="D287" t="s">
        <v>189</v>
      </c>
      <c r="E287" t="s">
        <v>190</v>
      </c>
      <c r="F287" t="s">
        <v>49</v>
      </c>
      <c r="G287" t="s">
        <v>50</v>
      </c>
      <c r="H287">
        <v>0</v>
      </c>
      <c r="I287">
        <v>2</v>
      </c>
      <c r="J287" t="s">
        <v>101</v>
      </c>
      <c r="K287" t="s">
        <v>187</v>
      </c>
      <c r="L287" t="s">
        <v>22</v>
      </c>
      <c r="M287">
        <v>27</v>
      </c>
    </row>
    <row r="288" spans="1:13" x14ac:dyDescent="0.25">
      <c r="A288" t="s">
        <v>83</v>
      </c>
      <c r="B288" t="s">
        <v>84</v>
      </c>
      <c r="C288" t="s">
        <v>188</v>
      </c>
      <c r="D288" t="s">
        <v>189</v>
      </c>
      <c r="E288" t="s">
        <v>190</v>
      </c>
      <c r="F288" t="s">
        <v>53</v>
      </c>
      <c r="G288" t="s">
        <v>54</v>
      </c>
      <c r="H288">
        <v>0</v>
      </c>
      <c r="I288">
        <v>1</v>
      </c>
      <c r="J288" t="s">
        <v>101</v>
      </c>
      <c r="K288" t="s">
        <v>187</v>
      </c>
      <c r="L288" t="s">
        <v>22</v>
      </c>
      <c r="M288">
        <v>27</v>
      </c>
    </row>
    <row r="289" spans="1:13" x14ac:dyDescent="0.25">
      <c r="A289" t="s">
        <v>83</v>
      </c>
      <c r="B289" t="s">
        <v>84</v>
      </c>
      <c r="C289" t="s">
        <v>188</v>
      </c>
      <c r="D289" t="s">
        <v>189</v>
      </c>
      <c r="E289" t="s">
        <v>190</v>
      </c>
      <c r="F289" t="s">
        <v>81</v>
      </c>
      <c r="G289" t="s">
        <v>82</v>
      </c>
      <c r="H289">
        <v>0</v>
      </c>
      <c r="I289">
        <v>1</v>
      </c>
      <c r="J289" t="s">
        <v>101</v>
      </c>
      <c r="K289" t="s">
        <v>187</v>
      </c>
      <c r="L289" t="s">
        <v>22</v>
      </c>
      <c r="M289">
        <v>27</v>
      </c>
    </row>
    <row r="290" spans="1:13" x14ac:dyDescent="0.25">
      <c r="A290" t="s">
        <v>83</v>
      </c>
      <c r="B290" t="s">
        <v>84</v>
      </c>
      <c r="C290" t="s">
        <v>188</v>
      </c>
      <c r="D290" t="s">
        <v>189</v>
      </c>
      <c r="E290" t="s">
        <v>190</v>
      </c>
      <c r="F290" t="s">
        <v>59</v>
      </c>
      <c r="G290" t="s">
        <v>60</v>
      </c>
      <c r="H290">
        <v>0</v>
      </c>
      <c r="I290">
        <v>5</v>
      </c>
      <c r="J290" t="s">
        <v>101</v>
      </c>
      <c r="K290" t="s">
        <v>187</v>
      </c>
      <c r="L290" t="s">
        <v>22</v>
      </c>
      <c r="M290">
        <v>27</v>
      </c>
    </row>
    <row r="291" spans="1:13" x14ac:dyDescent="0.25">
      <c r="A291" t="s">
        <v>83</v>
      </c>
      <c r="B291" t="s">
        <v>84</v>
      </c>
      <c r="C291" t="s">
        <v>188</v>
      </c>
      <c r="D291" t="s">
        <v>189</v>
      </c>
      <c r="E291" t="s">
        <v>190</v>
      </c>
      <c r="F291" t="s">
        <v>61</v>
      </c>
      <c r="G291" t="s">
        <v>62</v>
      </c>
      <c r="H291">
        <v>0</v>
      </c>
      <c r="I291">
        <v>1</v>
      </c>
      <c r="J291" t="s">
        <v>101</v>
      </c>
      <c r="K291" t="s">
        <v>187</v>
      </c>
      <c r="L291" t="s">
        <v>22</v>
      </c>
      <c r="M291">
        <v>27</v>
      </c>
    </row>
    <row r="292" spans="1:13" x14ac:dyDescent="0.25">
      <c r="A292" t="s">
        <v>83</v>
      </c>
      <c r="B292" t="s">
        <v>84</v>
      </c>
      <c r="C292" t="s">
        <v>188</v>
      </c>
      <c r="D292" t="s">
        <v>189</v>
      </c>
      <c r="E292" t="s">
        <v>190</v>
      </c>
      <c r="F292" t="s">
        <v>67</v>
      </c>
      <c r="G292" t="s">
        <v>68</v>
      </c>
      <c r="H292">
        <v>0</v>
      </c>
      <c r="I292">
        <v>2</v>
      </c>
      <c r="J292" t="s">
        <v>101</v>
      </c>
      <c r="K292" t="s">
        <v>187</v>
      </c>
      <c r="L292" t="s">
        <v>22</v>
      </c>
      <c r="M292">
        <v>27</v>
      </c>
    </row>
    <row r="293" spans="1:13" x14ac:dyDescent="0.25">
      <c r="A293" t="s">
        <v>83</v>
      </c>
      <c r="B293" t="s">
        <v>84</v>
      </c>
      <c r="C293" t="s">
        <v>188</v>
      </c>
      <c r="D293" t="s">
        <v>189</v>
      </c>
      <c r="E293" t="s">
        <v>190</v>
      </c>
      <c r="F293" t="s">
        <v>69</v>
      </c>
      <c r="G293" t="s">
        <v>70</v>
      </c>
      <c r="H293">
        <v>0</v>
      </c>
      <c r="I293">
        <v>1</v>
      </c>
      <c r="J293" t="s">
        <v>101</v>
      </c>
      <c r="K293" t="s">
        <v>187</v>
      </c>
      <c r="L293" t="s">
        <v>22</v>
      </c>
      <c r="M293">
        <v>27</v>
      </c>
    </row>
    <row r="294" spans="1:13" x14ac:dyDescent="0.25">
      <c r="A294" t="s">
        <v>13</v>
      </c>
      <c r="B294" t="s">
        <v>14</v>
      </c>
      <c r="C294" t="s">
        <v>178</v>
      </c>
      <c r="D294" t="s">
        <v>179</v>
      </c>
      <c r="E294" t="s">
        <v>180</v>
      </c>
      <c r="F294" t="s">
        <v>79</v>
      </c>
      <c r="G294" t="s">
        <v>80</v>
      </c>
      <c r="H294">
        <v>5</v>
      </c>
      <c r="I294">
        <v>1</v>
      </c>
      <c r="J294" t="s">
        <v>20</v>
      </c>
      <c r="K294" t="s">
        <v>181</v>
      </c>
      <c r="L294" t="s">
        <v>22</v>
      </c>
      <c r="M294">
        <v>41</v>
      </c>
    </row>
    <row r="295" spans="1:13" x14ac:dyDescent="0.25">
      <c r="A295" t="s">
        <v>13</v>
      </c>
      <c r="B295" t="s">
        <v>14</v>
      </c>
      <c r="C295" t="s">
        <v>178</v>
      </c>
      <c r="D295" t="s">
        <v>179</v>
      </c>
      <c r="E295" t="s">
        <v>180</v>
      </c>
      <c r="F295" t="s">
        <v>45</v>
      </c>
      <c r="G295" t="s">
        <v>46</v>
      </c>
      <c r="H295">
        <v>0</v>
      </c>
      <c r="I295">
        <v>4</v>
      </c>
      <c r="J295" t="s">
        <v>20</v>
      </c>
      <c r="K295" t="s">
        <v>181</v>
      </c>
      <c r="L295" t="s">
        <v>22</v>
      </c>
      <c r="M295">
        <v>41</v>
      </c>
    </row>
    <row r="296" spans="1:13" x14ac:dyDescent="0.25">
      <c r="A296" t="s">
        <v>13</v>
      </c>
      <c r="B296" t="s">
        <v>14</v>
      </c>
      <c r="C296" t="s">
        <v>178</v>
      </c>
      <c r="D296" t="s">
        <v>179</v>
      </c>
      <c r="E296" t="s">
        <v>180</v>
      </c>
      <c r="F296" t="s">
        <v>51</v>
      </c>
      <c r="G296" t="s">
        <v>52</v>
      </c>
      <c r="H296">
        <v>0</v>
      </c>
      <c r="I296">
        <v>3</v>
      </c>
      <c r="J296" t="s">
        <v>20</v>
      </c>
      <c r="K296" t="s">
        <v>181</v>
      </c>
      <c r="L296" t="s">
        <v>22</v>
      </c>
      <c r="M296">
        <v>41</v>
      </c>
    </row>
    <row r="297" spans="1:13" x14ac:dyDescent="0.25">
      <c r="A297" t="s">
        <v>13</v>
      </c>
      <c r="B297" t="s">
        <v>14</v>
      </c>
      <c r="C297" t="s">
        <v>178</v>
      </c>
      <c r="D297" t="s">
        <v>179</v>
      </c>
      <c r="E297" t="s">
        <v>180</v>
      </c>
      <c r="F297" t="s">
        <v>55</v>
      </c>
      <c r="G297" t="s">
        <v>56</v>
      </c>
      <c r="H297">
        <v>5</v>
      </c>
      <c r="I297">
        <v>0</v>
      </c>
      <c r="J297" t="s">
        <v>20</v>
      </c>
      <c r="K297" t="s">
        <v>181</v>
      </c>
      <c r="L297" t="s">
        <v>22</v>
      </c>
      <c r="M297">
        <v>41</v>
      </c>
    </row>
    <row r="298" spans="1:13" x14ac:dyDescent="0.25">
      <c r="A298" t="s">
        <v>13</v>
      </c>
      <c r="B298" t="s">
        <v>14</v>
      </c>
      <c r="C298" t="s">
        <v>178</v>
      </c>
      <c r="D298" t="s">
        <v>179</v>
      </c>
      <c r="E298" t="s">
        <v>180</v>
      </c>
      <c r="F298" t="s">
        <v>59</v>
      </c>
      <c r="G298" t="s">
        <v>60</v>
      </c>
      <c r="H298">
        <v>0</v>
      </c>
      <c r="I298">
        <v>2</v>
      </c>
      <c r="J298" t="s">
        <v>20</v>
      </c>
      <c r="K298" t="s">
        <v>181</v>
      </c>
      <c r="L298" t="s">
        <v>22</v>
      </c>
      <c r="M298">
        <v>41</v>
      </c>
    </row>
    <row r="299" spans="1:13" x14ac:dyDescent="0.25">
      <c r="A299" t="s">
        <v>13</v>
      </c>
      <c r="B299" t="s">
        <v>14</v>
      </c>
      <c r="C299" t="s">
        <v>178</v>
      </c>
      <c r="D299" t="s">
        <v>179</v>
      </c>
      <c r="E299" t="s">
        <v>180</v>
      </c>
      <c r="F299" t="s">
        <v>25</v>
      </c>
      <c r="G299" t="s">
        <v>26</v>
      </c>
      <c r="H299">
        <v>5</v>
      </c>
      <c r="I299">
        <v>0</v>
      </c>
      <c r="J299" t="s">
        <v>20</v>
      </c>
      <c r="K299" t="s">
        <v>181</v>
      </c>
      <c r="L299" t="s">
        <v>22</v>
      </c>
      <c r="M299">
        <v>41</v>
      </c>
    </row>
    <row r="300" spans="1:13" x14ac:dyDescent="0.25">
      <c r="A300" t="s">
        <v>13</v>
      </c>
      <c r="B300" t="s">
        <v>14</v>
      </c>
      <c r="C300" t="s">
        <v>178</v>
      </c>
      <c r="D300" t="s">
        <v>179</v>
      </c>
      <c r="E300" t="s">
        <v>180</v>
      </c>
      <c r="F300" t="s">
        <v>27</v>
      </c>
      <c r="G300" t="s">
        <v>28</v>
      </c>
      <c r="H300">
        <v>0</v>
      </c>
      <c r="I300">
        <v>1</v>
      </c>
      <c r="J300" t="s">
        <v>20</v>
      </c>
      <c r="K300" t="s">
        <v>181</v>
      </c>
      <c r="L300" t="s">
        <v>22</v>
      </c>
      <c r="M300">
        <v>41</v>
      </c>
    </row>
    <row r="301" spans="1:13" x14ac:dyDescent="0.25">
      <c r="A301" t="s">
        <v>13</v>
      </c>
      <c r="B301" t="s">
        <v>14</v>
      </c>
      <c r="C301" t="s">
        <v>178</v>
      </c>
      <c r="D301" t="s">
        <v>179</v>
      </c>
      <c r="E301" t="s">
        <v>180</v>
      </c>
      <c r="F301" t="s">
        <v>65</v>
      </c>
      <c r="G301" t="s">
        <v>66</v>
      </c>
      <c r="H301">
        <v>0</v>
      </c>
      <c r="I301">
        <v>4</v>
      </c>
      <c r="J301" t="s">
        <v>20</v>
      </c>
      <c r="K301" t="s">
        <v>181</v>
      </c>
      <c r="L301" t="s">
        <v>22</v>
      </c>
      <c r="M301">
        <v>41</v>
      </c>
    </row>
    <row r="302" spans="1:13" x14ac:dyDescent="0.25">
      <c r="A302" t="s">
        <v>13</v>
      </c>
      <c r="B302" t="s">
        <v>14</v>
      </c>
      <c r="C302" t="s">
        <v>178</v>
      </c>
      <c r="D302" t="s">
        <v>179</v>
      </c>
      <c r="E302" t="s">
        <v>180</v>
      </c>
      <c r="F302" t="s">
        <v>67</v>
      </c>
      <c r="G302" t="s">
        <v>68</v>
      </c>
      <c r="H302">
        <v>4</v>
      </c>
      <c r="I302">
        <v>0</v>
      </c>
      <c r="J302" t="s">
        <v>20</v>
      </c>
      <c r="K302" t="s">
        <v>181</v>
      </c>
      <c r="L302" t="s">
        <v>22</v>
      </c>
      <c r="M302">
        <v>41</v>
      </c>
    </row>
    <row r="303" spans="1:13" x14ac:dyDescent="0.25">
      <c r="A303" t="s">
        <v>13</v>
      </c>
      <c r="B303" t="s">
        <v>14</v>
      </c>
      <c r="C303" t="s">
        <v>178</v>
      </c>
      <c r="D303" t="s">
        <v>179</v>
      </c>
      <c r="E303" t="s">
        <v>180</v>
      </c>
      <c r="F303" t="s">
        <v>71</v>
      </c>
      <c r="G303" t="s">
        <v>72</v>
      </c>
      <c r="H303">
        <v>5</v>
      </c>
      <c r="I303">
        <v>0</v>
      </c>
      <c r="J303" t="s">
        <v>20</v>
      </c>
      <c r="K303" t="s">
        <v>181</v>
      </c>
      <c r="L303" t="s">
        <v>22</v>
      </c>
      <c r="M303">
        <v>41</v>
      </c>
    </row>
    <row r="304" spans="1:13" x14ac:dyDescent="0.25">
      <c r="A304" t="s">
        <v>165</v>
      </c>
      <c r="B304" t="s">
        <v>166</v>
      </c>
      <c r="C304" t="s">
        <v>167</v>
      </c>
      <c r="D304" t="s">
        <v>168</v>
      </c>
      <c r="E304" t="s">
        <v>169</v>
      </c>
      <c r="F304" t="s">
        <v>18</v>
      </c>
      <c r="G304" t="s">
        <v>19</v>
      </c>
      <c r="H304">
        <v>0</v>
      </c>
      <c r="I304">
        <v>8</v>
      </c>
      <c r="J304" t="s">
        <v>101</v>
      </c>
      <c r="K304" t="s">
        <v>170</v>
      </c>
      <c r="L304" t="s">
        <v>22</v>
      </c>
      <c r="M304">
        <v>13</v>
      </c>
    </row>
    <row r="305" spans="1:13" x14ac:dyDescent="0.25">
      <c r="A305" t="s">
        <v>165</v>
      </c>
      <c r="B305" t="s">
        <v>166</v>
      </c>
      <c r="C305" t="s">
        <v>167</v>
      </c>
      <c r="D305" t="s">
        <v>168</v>
      </c>
      <c r="E305" t="s">
        <v>169</v>
      </c>
      <c r="F305" t="s">
        <v>79</v>
      </c>
      <c r="G305" t="s">
        <v>80</v>
      </c>
      <c r="H305">
        <v>0</v>
      </c>
      <c r="I305">
        <v>1</v>
      </c>
      <c r="J305" t="s">
        <v>101</v>
      </c>
      <c r="K305" t="s">
        <v>170</v>
      </c>
      <c r="L305" t="s">
        <v>22</v>
      </c>
      <c r="M305">
        <v>13</v>
      </c>
    </row>
    <row r="306" spans="1:13" x14ac:dyDescent="0.25">
      <c r="A306" t="s">
        <v>165</v>
      </c>
      <c r="B306" t="s">
        <v>166</v>
      </c>
      <c r="C306" t="s">
        <v>167</v>
      </c>
      <c r="D306" t="s">
        <v>168</v>
      </c>
      <c r="E306" t="s">
        <v>169</v>
      </c>
      <c r="F306" t="s">
        <v>39</v>
      </c>
      <c r="G306" t="s">
        <v>40</v>
      </c>
      <c r="H306">
        <v>0</v>
      </c>
      <c r="I306">
        <v>3</v>
      </c>
      <c r="J306" t="s">
        <v>101</v>
      </c>
      <c r="K306" t="s">
        <v>170</v>
      </c>
      <c r="L306" t="s">
        <v>22</v>
      </c>
      <c r="M306">
        <v>13</v>
      </c>
    </row>
    <row r="307" spans="1:13" x14ac:dyDescent="0.25">
      <c r="A307" t="s">
        <v>165</v>
      </c>
      <c r="B307" t="s">
        <v>166</v>
      </c>
      <c r="C307" t="s">
        <v>167</v>
      </c>
      <c r="D307" t="s">
        <v>168</v>
      </c>
      <c r="E307" t="s">
        <v>169</v>
      </c>
      <c r="F307" t="s">
        <v>43</v>
      </c>
      <c r="G307" t="s">
        <v>44</v>
      </c>
      <c r="H307">
        <v>0</v>
      </c>
      <c r="I307">
        <v>1</v>
      </c>
      <c r="J307" t="s">
        <v>101</v>
      </c>
      <c r="K307" t="s">
        <v>170</v>
      </c>
      <c r="L307" t="s">
        <v>22</v>
      </c>
      <c r="M307">
        <v>13</v>
      </c>
    </row>
    <row r="308" spans="1:13" x14ac:dyDescent="0.25">
      <c r="A308" t="s">
        <v>165</v>
      </c>
      <c r="B308" t="s">
        <v>166</v>
      </c>
      <c r="C308" t="s">
        <v>167</v>
      </c>
      <c r="D308" t="s">
        <v>168</v>
      </c>
      <c r="E308" t="s">
        <v>169</v>
      </c>
      <c r="F308" t="s">
        <v>45</v>
      </c>
      <c r="G308" t="s">
        <v>46</v>
      </c>
      <c r="H308">
        <v>0</v>
      </c>
      <c r="I308">
        <v>20</v>
      </c>
      <c r="J308" t="s">
        <v>101</v>
      </c>
      <c r="K308" t="s">
        <v>170</v>
      </c>
      <c r="L308" t="s">
        <v>22</v>
      </c>
      <c r="M308">
        <v>13</v>
      </c>
    </row>
    <row r="309" spans="1:13" x14ac:dyDescent="0.25">
      <c r="A309" t="s">
        <v>165</v>
      </c>
      <c r="B309" t="s">
        <v>166</v>
      </c>
      <c r="C309" t="s">
        <v>167</v>
      </c>
      <c r="D309" t="s">
        <v>168</v>
      </c>
      <c r="E309" t="s">
        <v>169</v>
      </c>
      <c r="F309" t="s">
        <v>49</v>
      </c>
      <c r="G309" t="s">
        <v>50</v>
      </c>
      <c r="H309">
        <v>0</v>
      </c>
      <c r="I309">
        <v>1</v>
      </c>
      <c r="J309" t="s">
        <v>101</v>
      </c>
      <c r="K309" t="s">
        <v>170</v>
      </c>
      <c r="L309" t="s">
        <v>22</v>
      </c>
      <c r="M309">
        <v>13</v>
      </c>
    </row>
    <row r="310" spans="1:13" x14ac:dyDescent="0.25">
      <c r="A310" t="s">
        <v>165</v>
      </c>
      <c r="B310" t="s">
        <v>166</v>
      </c>
      <c r="C310" t="s">
        <v>167</v>
      </c>
      <c r="D310" t="s">
        <v>168</v>
      </c>
      <c r="E310" t="s">
        <v>169</v>
      </c>
      <c r="F310" t="s">
        <v>23</v>
      </c>
      <c r="G310" t="s">
        <v>24</v>
      </c>
      <c r="H310">
        <v>0</v>
      </c>
      <c r="I310">
        <v>1</v>
      </c>
      <c r="J310" t="s">
        <v>101</v>
      </c>
      <c r="K310" t="s">
        <v>170</v>
      </c>
      <c r="L310" t="s">
        <v>22</v>
      </c>
      <c r="M310">
        <v>13</v>
      </c>
    </row>
    <row r="311" spans="1:13" x14ac:dyDescent="0.25">
      <c r="A311" t="s">
        <v>165</v>
      </c>
      <c r="B311" t="s">
        <v>166</v>
      </c>
      <c r="C311" t="s">
        <v>167</v>
      </c>
      <c r="D311" t="s">
        <v>168</v>
      </c>
      <c r="E311" t="s">
        <v>169</v>
      </c>
      <c r="F311" t="s">
        <v>51</v>
      </c>
      <c r="G311" t="s">
        <v>52</v>
      </c>
      <c r="H311">
        <v>0</v>
      </c>
      <c r="I311">
        <v>24</v>
      </c>
      <c r="J311" t="s">
        <v>101</v>
      </c>
      <c r="K311" t="s">
        <v>170</v>
      </c>
      <c r="L311" t="s">
        <v>22</v>
      </c>
      <c r="M311">
        <v>13</v>
      </c>
    </row>
    <row r="312" spans="1:13" x14ac:dyDescent="0.25">
      <c r="A312" t="s">
        <v>165</v>
      </c>
      <c r="B312" t="s">
        <v>166</v>
      </c>
      <c r="C312" t="s">
        <v>167</v>
      </c>
      <c r="D312" t="s">
        <v>168</v>
      </c>
      <c r="E312" t="s">
        <v>169</v>
      </c>
      <c r="F312" t="s">
        <v>53</v>
      </c>
      <c r="G312" t="s">
        <v>54</v>
      </c>
      <c r="H312">
        <v>0</v>
      </c>
      <c r="I312">
        <v>1</v>
      </c>
      <c r="J312" t="s">
        <v>101</v>
      </c>
      <c r="K312" t="s">
        <v>170</v>
      </c>
      <c r="L312" t="s">
        <v>22</v>
      </c>
      <c r="M312">
        <v>13</v>
      </c>
    </row>
    <row r="313" spans="1:13" x14ac:dyDescent="0.25">
      <c r="A313" t="s">
        <v>165</v>
      </c>
      <c r="B313" t="s">
        <v>166</v>
      </c>
      <c r="C313" t="s">
        <v>167</v>
      </c>
      <c r="D313" t="s">
        <v>168</v>
      </c>
      <c r="E313" t="s">
        <v>169</v>
      </c>
      <c r="F313" t="s">
        <v>55</v>
      </c>
      <c r="G313" t="s">
        <v>56</v>
      </c>
      <c r="H313">
        <v>0</v>
      </c>
      <c r="I313">
        <v>1</v>
      </c>
      <c r="J313" t="s">
        <v>101</v>
      </c>
      <c r="K313" t="s">
        <v>170</v>
      </c>
      <c r="L313" t="s">
        <v>22</v>
      </c>
      <c r="M313">
        <v>13</v>
      </c>
    </row>
    <row r="314" spans="1:13" x14ac:dyDescent="0.25">
      <c r="A314" t="s">
        <v>165</v>
      </c>
      <c r="B314" t="s">
        <v>166</v>
      </c>
      <c r="C314" t="s">
        <v>167</v>
      </c>
      <c r="D314" t="s">
        <v>168</v>
      </c>
      <c r="E314" t="s">
        <v>169</v>
      </c>
      <c r="F314" t="s">
        <v>59</v>
      </c>
      <c r="G314" t="s">
        <v>60</v>
      </c>
      <c r="H314">
        <v>0</v>
      </c>
      <c r="I314">
        <v>18</v>
      </c>
      <c r="J314" t="s">
        <v>101</v>
      </c>
      <c r="K314" t="s">
        <v>170</v>
      </c>
      <c r="L314" t="s">
        <v>22</v>
      </c>
      <c r="M314">
        <v>13</v>
      </c>
    </row>
    <row r="315" spans="1:13" x14ac:dyDescent="0.25">
      <c r="A315" t="s">
        <v>165</v>
      </c>
      <c r="B315" t="s">
        <v>166</v>
      </c>
      <c r="C315" t="s">
        <v>167</v>
      </c>
      <c r="D315" t="s">
        <v>168</v>
      </c>
      <c r="E315" t="s">
        <v>169</v>
      </c>
      <c r="F315" t="s">
        <v>61</v>
      </c>
      <c r="G315" t="s">
        <v>62</v>
      </c>
      <c r="H315">
        <v>0</v>
      </c>
      <c r="I315">
        <v>3</v>
      </c>
      <c r="J315" t="s">
        <v>101</v>
      </c>
      <c r="K315" t="s">
        <v>170</v>
      </c>
      <c r="L315" t="s">
        <v>22</v>
      </c>
      <c r="M315">
        <v>13</v>
      </c>
    </row>
    <row r="316" spans="1:13" x14ac:dyDescent="0.25">
      <c r="A316" t="s">
        <v>165</v>
      </c>
      <c r="B316" t="s">
        <v>166</v>
      </c>
      <c r="C316" t="s">
        <v>167</v>
      </c>
      <c r="D316" t="s">
        <v>168</v>
      </c>
      <c r="E316" t="s">
        <v>169</v>
      </c>
      <c r="F316" t="s">
        <v>171</v>
      </c>
      <c r="G316" t="s">
        <v>172</v>
      </c>
      <c r="H316">
        <v>9</v>
      </c>
      <c r="I316">
        <v>0</v>
      </c>
      <c r="J316" t="s">
        <v>101</v>
      </c>
      <c r="K316" t="s">
        <v>170</v>
      </c>
      <c r="L316" t="s">
        <v>22</v>
      </c>
      <c r="M316">
        <v>13</v>
      </c>
    </row>
    <row r="317" spans="1:13" x14ac:dyDescent="0.25">
      <c r="A317" t="s">
        <v>165</v>
      </c>
      <c r="B317" t="s">
        <v>166</v>
      </c>
      <c r="C317" t="s">
        <v>167</v>
      </c>
      <c r="D317" t="s">
        <v>168</v>
      </c>
      <c r="E317" t="s">
        <v>169</v>
      </c>
      <c r="F317" t="s">
        <v>25</v>
      </c>
      <c r="G317" t="s">
        <v>26</v>
      </c>
      <c r="H317">
        <v>0</v>
      </c>
      <c r="I317">
        <v>3</v>
      </c>
      <c r="J317" t="s">
        <v>101</v>
      </c>
      <c r="K317" t="s">
        <v>170</v>
      </c>
      <c r="L317" t="s">
        <v>22</v>
      </c>
      <c r="M317">
        <v>13</v>
      </c>
    </row>
    <row r="318" spans="1:13" x14ac:dyDescent="0.25">
      <c r="A318" t="s">
        <v>165</v>
      </c>
      <c r="B318" t="s">
        <v>166</v>
      </c>
      <c r="C318" t="s">
        <v>167</v>
      </c>
      <c r="D318" t="s">
        <v>168</v>
      </c>
      <c r="E318" t="s">
        <v>169</v>
      </c>
      <c r="F318" t="s">
        <v>27</v>
      </c>
      <c r="G318" t="s">
        <v>28</v>
      </c>
      <c r="H318">
        <v>0</v>
      </c>
      <c r="I318">
        <v>3</v>
      </c>
      <c r="J318" t="s">
        <v>101</v>
      </c>
      <c r="K318" t="s">
        <v>170</v>
      </c>
      <c r="L318" t="s">
        <v>22</v>
      </c>
      <c r="M318">
        <v>13</v>
      </c>
    </row>
    <row r="319" spans="1:13" x14ac:dyDescent="0.25">
      <c r="A319" t="s">
        <v>165</v>
      </c>
      <c r="B319" t="s">
        <v>166</v>
      </c>
      <c r="C319" t="s">
        <v>167</v>
      </c>
      <c r="D319" t="s">
        <v>168</v>
      </c>
      <c r="E319" t="s">
        <v>169</v>
      </c>
      <c r="F319" t="s">
        <v>65</v>
      </c>
      <c r="G319" t="s">
        <v>66</v>
      </c>
      <c r="H319">
        <v>0</v>
      </c>
      <c r="I319">
        <v>40</v>
      </c>
      <c r="J319" t="s">
        <v>101</v>
      </c>
      <c r="K319" t="s">
        <v>170</v>
      </c>
      <c r="L319" t="s">
        <v>22</v>
      </c>
      <c r="M319">
        <v>13</v>
      </c>
    </row>
    <row r="320" spans="1:13" x14ac:dyDescent="0.25">
      <c r="A320" t="s">
        <v>165</v>
      </c>
      <c r="B320" t="s">
        <v>166</v>
      </c>
      <c r="C320" t="s">
        <v>167</v>
      </c>
      <c r="D320" t="s">
        <v>168</v>
      </c>
      <c r="E320" t="s">
        <v>169</v>
      </c>
      <c r="F320" t="s">
        <v>29</v>
      </c>
      <c r="G320" t="s">
        <v>30</v>
      </c>
      <c r="H320">
        <v>0</v>
      </c>
      <c r="I320">
        <v>3</v>
      </c>
      <c r="J320" t="s">
        <v>101</v>
      </c>
      <c r="K320" t="s">
        <v>170</v>
      </c>
      <c r="L320" t="s">
        <v>22</v>
      </c>
      <c r="M320">
        <v>13</v>
      </c>
    </row>
    <row r="321" spans="1:13" x14ac:dyDescent="0.25">
      <c r="A321" t="s">
        <v>165</v>
      </c>
      <c r="B321" t="s">
        <v>166</v>
      </c>
      <c r="C321" t="s">
        <v>167</v>
      </c>
      <c r="D321" t="s">
        <v>168</v>
      </c>
      <c r="E321" t="s">
        <v>169</v>
      </c>
      <c r="F321" t="s">
        <v>69</v>
      </c>
      <c r="G321" t="s">
        <v>70</v>
      </c>
      <c r="H321">
        <v>0</v>
      </c>
      <c r="I321">
        <v>1</v>
      </c>
      <c r="J321" t="s">
        <v>101</v>
      </c>
      <c r="K321" t="s">
        <v>170</v>
      </c>
      <c r="L321" t="s">
        <v>22</v>
      </c>
      <c r="M321">
        <v>13</v>
      </c>
    </row>
    <row r="322" spans="1:13" x14ac:dyDescent="0.25">
      <c r="A322" t="s">
        <v>165</v>
      </c>
      <c r="B322" t="s">
        <v>166</v>
      </c>
      <c r="C322" t="s">
        <v>167</v>
      </c>
      <c r="D322" t="s">
        <v>168</v>
      </c>
      <c r="E322" t="s">
        <v>169</v>
      </c>
      <c r="F322" t="s">
        <v>71</v>
      </c>
      <c r="G322" t="s">
        <v>72</v>
      </c>
      <c r="H322">
        <v>0</v>
      </c>
      <c r="I322">
        <v>8</v>
      </c>
      <c r="J322" t="s">
        <v>101</v>
      </c>
      <c r="K322" t="s">
        <v>170</v>
      </c>
      <c r="L322" t="s">
        <v>22</v>
      </c>
      <c r="M322">
        <v>13</v>
      </c>
    </row>
    <row r="323" spans="1:13" x14ac:dyDescent="0.25">
      <c r="A323" t="s">
        <v>165</v>
      </c>
      <c r="B323" t="s">
        <v>166</v>
      </c>
      <c r="C323" t="s">
        <v>167</v>
      </c>
      <c r="D323" t="s">
        <v>168</v>
      </c>
      <c r="E323" t="s">
        <v>169</v>
      </c>
      <c r="F323" t="s">
        <v>31</v>
      </c>
      <c r="G323" t="s">
        <v>32</v>
      </c>
      <c r="H323">
        <v>0</v>
      </c>
      <c r="I323">
        <v>1</v>
      </c>
      <c r="J323" t="s">
        <v>101</v>
      </c>
      <c r="K323" t="s">
        <v>170</v>
      </c>
      <c r="L323" t="s">
        <v>22</v>
      </c>
      <c r="M323">
        <v>13</v>
      </c>
    </row>
    <row r="324" spans="1:13" x14ac:dyDescent="0.25">
      <c r="A324" t="s">
        <v>173</v>
      </c>
      <c r="B324" t="s">
        <v>174</v>
      </c>
      <c r="C324" t="s">
        <v>175</v>
      </c>
      <c r="D324" t="s">
        <v>176</v>
      </c>
      <c r="E324" t="s">
        <v>177</v>
      </c>
      <c r="F324" t="s">
        <v>51</v>
      </c>
      <c r="G324" t="s">
        <v>52</v>
      </c>
      <c r="H324">
        <v>0</v>
      </c>
      <c r="I324">
        <v>2</v>
      </c>
      <c r="J324" t="s">
        <v>94</v>
      </c>
      <c r="K324" t="s">
        <v>170</v>
      </c>
      <c r="L324" t="s">
        <v>22</v>
      </c>
      <c r="M324">
        <v>36</v>
      </c>
    </row>
    <row r="325" spans="1:13" x14ac:dyDescent="0.25">
      <c r="A325" t="s">
        <v>173</v>
      </c>
      <c r="B325" t="s">
        <v>174</v>
      </c>
      <c r="C325" t="s">
        <v>175</v>
      </c>
      <c r="D325" t="s">
        <v>176</v>
      </c>
      <c r="E325" t="s">
        <v>177</v>
      </c>
      <c r="F325" t="s">
        <v>65</v>
      </c>
      <c r="G325" t="s">
        <v>66</v>
      </c>
      <c r="H325">
        <v>0</v>
      </c>
      <c r="I325">
        <v>2</v>
      </c>
      <c r="J325" t="s">
        <v>94</v>
      </c>
      <c r="K325" t="s">
        <v>170</v>
      </c>
      <c r="L325" t="s">
        <v>22</v>
      </c>
      <c r="M325">
        <v>36</v>
      </c>
    </row>
    <row r="326" spans="1:13" x14ac:dyDescent="0.25">
      <c r="A326" t="s">
        <v>120</v>
      </c>
      <c r="B326" t="s">
        <v>121</v>
      </c>
      <c r="C326" t="s">
        <v>161</v>
      </c>
      <c r="D326" t="s">
        <v>162</v>
      </c>
      <c r="E326" t="s">
        <v>163</v>
      </c>
      <c r="F326" t="s">
        <v>18</v>
      </c>
      <c r="G326" t="s">
        <v>19</v>
      </c>
      <c r="H326">
        <v>0</v>
      </c>
      <c r="I326">
        <v>1</v>
      </c>
      <c r="J326" t="s">
        <v>20</v>
      </c>
      <c r="K326" t="s">
        <v>164</v>
      </c>
      <c r="L326" t="s">
        <v>22</v>
      </c>
      <c r="M326">
        <v>37</v>
      </c>
    </row>
    <row r="327" spans="1:13" x14ac:dyDescent="0.25">
      <c r="A327" t="s">
        <v>120</v>
      </c>
      <c r="B327" t="s">
        <v>121</v>
      </c>
      <c r="C327" t="s">
        <v>161</v>
      </c>
      <c r="D327" t="s">
        <v>162</v>
      </c>
      <c r="E327" t="s">
        <v>163</v>
      </c>
      <c r="F327" t="s">
        <v>39</v>
      </c>
      <c r="G327" t="s">
        <v>40</v>
      </c>
      <c r="H327">
        <v>5</v>
      </c>
      <c r="I327">
        <v>0</v>
      </c>
      <c r="J327" t="s">
        <v>20</v>
      </c>
      <c r="K327" t="s">
        <v>164</v>
      </c>
      <c r="L327" t="s">
        <v>22</v>
      </c>
      <c r="M327">
        <v>37</v>
      </c>
    </row>
    <row r="328" spans="1:13" x14ac:dyDescent="0.25">
      <c r="A328" t="s">
        <v>120</v>
      </c>
      <c r="B328" t="s">
        <v>121</v>
      </c>
      <c r="C328" t="s">
        <v>161</v>
      </c>
      <c r="D328" t="s">
        <v>162</v>
      </c>
      <c r="E328" t="s">
        <v>163</v>
      </c>
      <c r="F328" t="s">
        <v>45</v>
      </c>
      <c r="G328" t="s">
        <v>46</v>
      </c>
      <c r="H328">
        <v>0</v>
      </c>
      <c r="I328">
        <v>2</v>
      </c>
      <c r="J328" t="s">
        <v>20</v>
      </c>
      <c r="K328" t="s">
        <v>164</v>
      </c>
      <c r="L328" t="s">
        <v>22</v>
      </c>
      <c r="M328">
        <v>37</v>
      </c>
    </row>
    <row r="329" spans="1:13" x14ac:dyDescent="0.25">
      <c r="A329" t="s">
        <v>120</v>
      </c>
      <c r="B329" t="s">
        <v>121</v>
      </c>
      <c r="C329" t="s">
        <v>161</v>
      </c>
      <c r="D329" t="s">
        <v>162</v>
      </c>
      <c r="E329" t="s">
        <v>163</v>
      </c>
      <c r="F329" t="s">
        <v>47</v>
      </c>
      <c r="G329" t="s">
        <v>48</v>
      </c>
      <c r="H329">
        <v>5</v>
      </c>
      <c r="I329">
        <v>0</v>
      </c>
      <c r="J329" t="s">
        <v>20</v>
      </c>
      <c r="K329" t="s">
        <v>164</v>
      </c>
      <c r="L329" t="s">
        <v>22</v>
      </c>
      <c r="M329">
        <v>37</v>
      </c>
    </row>
    <row r="330" spans="1:13" x14ac:dyDescent="0.25">
      <c r="A330" t="s">
        <v>120</v>
      </c>
      <c r="B330" t="s">
        <v>121</v>
      </c>
      <c r="C330" t="s">
        <v>161</v>
      </c>
      <c r="D330" t="s">
        <v>162</v>
      </c>
      <c r="E330" t="s">
        <v>163</v>
      </c>
      <c r="F330" t="s">
        <v>23</v>
      </c>
      <c r="G330" t="s">
        <v>24</v>
      </c>
      <c r="H330">
        <v>5</v>
      </c>
      <c r="I330">
        <v>0</v>
      </c>
      <c r="J330" t="s">
        <v>20</v>
      </c>
      <c r="K330" t="s">
        <v>164</v>
      </c>
      <c r="L330" t="s">
        <v>22</v>
      </c>
      <c r="M330">
        <v>37</v>
      </c>
    </row>
    <row r="331" spans="1:13" x14ac:dyDescent="0.25">
      <c r="A331" t="s">
        <v>120</v>
      </c>
      <c r="B331" t="s">
        <v>121</v>
      </c>
      <c r="C331" t="s">
        <v>161</v>
      </c>
      <c r="D331" t="s">
        <v>162</v>
      </c>
      <c r="E331" t="s">
        <v>163</v>
      </c>
      <c r="F331" t="s">
        <v>51</v>
      </c>
      <c r="G331" t="s">
        <v>52</v>
      </c>
      <c r="H331">
        <v>0</v>
      </c>
      <c r="I331">
        <v>3</v>
      </c>
      <c r="J331" t="s">
        <v>20</v>
      </c>
      <c r="K331" t="s">
        <v>164</v>
      </c>
      <c r="L331" t="s">
        <v>22</v>
      </c>
      <c r="M331">
        <v>37</v>
      </c>
    </row>
    <row r="332" spans="1:13" x14ac:dyDescent="0.25">
      <c r="A332" t="s">
        <v>120</v>
      </c>
      <c r="B332" t="s">
        <v>121</v>
      </c>
      <c r="C332" t="s">
        <v>161</v>
      </c>
      <c r="D332" t="s">
        <v>162</v>
      </c>
      <c r="E332" t="s">
        <v>163</v>
      </c>
      <c r="F332" t="s">
        <v>59</v>
      </c>
      <c r="G332" t="s">
        <v>60</v>
      </c>
      <c r="H332">
        <v>0</v>
      </c>
      <c r="I332">
        <v>2</v>
      </c>
      <c r="J332" t="s">
        <v>20</v>
      </c>
      <c r="K332" t="s">
        <v>164</v>
      </c>
      <c r="L332" t="s">
        <v>22</v>
      </c>
      <c r="M332">
        <v>37</v>
      </c>
    </row>
    <row r="333" spans="1:13" x14ac:dyDescent="0.25">
      <c r="A333" t="s">
        <v>120</v>
      </c>
      <c r="B333" t="s">
        <v>121</v>
      </c>
      <c r="C333" t="s">
        <v>161</v>
      </c>
      <c r="D333" t="s">
        <v>162</v>
      </c>
      <c r="E333" t="s">
        <v>163</v>
      </c>
      <c r="F333" t="s">
        <v>63</v>
      </c>
      <c r="G333" t="s">
        <v>64</v>
      </c>
      <c r="H333">
        <v>4</v>
      </c>
      <c r="I333">
        <v>0</v>
      </c>
      <c r="J333" t="s">
        <v>20</v>
      </c>
      <c r="K333" t="s">
        <v>164</v>
      </c>
      <c r="L333" t="s">
        <v>22</v>
      </c>
      <c r="M333">
        <v>37</v>
      </c>
    </row>
    <row r="334" spans="1:13" x14ac:dyDescent="0.25">
      <c r="A334" t="s">
        <v>120</v>
      </c>
      <c r="B334" t="s">
        <v>121</v>
      </c>
      <c r="C334" t="s">
        <v>161</v>
      </c>
      <c r="D334" t="s">
        <v>162</v>
      </c>
      <c r="E334" t="s">
        <v>163</v>
      </c>
      <c r="F334" t="s">
        <v>65</v>
      </c>
      <c r="G334" t="s">
        <v>66</v>
      </c>
      <c r="H334">
        <v>0</v>
      </c>
      <c r="I334">
        <v>3</v>
      </c>
      <c r="J334" t="s">
        <v>20</v>
      </c>
      <c r="K334" t="s">
        <v>164</v>
      </c>
      <c r="L334" t="s">
        <v>22</v>
      </c>
      <c r="M334">
        <v>37</v>
      </c>
    </row>
    <row r="335" spans="1:13" x14ac:dyDescent="0.25">
      <c r="A335" t="s">
        <v>120</v>
      </c>
      <c r="B335" t="s">
        <v>121</v>
      </c>
      <c r="C335" t="s">
        <v>161</v>
      </c>
      <c r="D335" t="s">
        <v>162</v>
      </c>
      <c r="E335" t="s">
        <v>163</v>
      </c>
      <c r="F335" t="s">
        <v>29</v>
      </c>
      <c r="G335" t="s">
        <v>30</v>
      </c>
      <c r="H335">
        <v>5</v>
      </c>
      <c r="I335">
        <v>0</v>
      </c>
      <c r="J335" t="s">
        <v>20</v>
      </c>
      <c r="K335" t="s">
        <v>164</v>
      </c>
      <c r="L335" t="s">
        <v>22</v>
      </c>
      <c r="M335">
        <v>37</v>
      </c>
    </row>
    <row r="336" spans="1:13" x14ac:dyDescent="0.25">
      <c r="A336" t="s">
        <v>120</v>
      </c>
      <c r="B336" t="s">
        <v>121</v>
      </c>
      <c r="C336" t="s">
        <v>161</v>
      </c>
      <c r="D336" t="s">
        <v>162</v>
      </c>
      <c r="E336" t="s">
        <v>163</v>
      </c>
      <c r="F336" t="s">
        <v>69</v>
      </c>
      <c r="G336" t="s">
        <v>70</v>
      </c>
      <c r="H336">
        <v>2</v>
      </c>
      <c r="I336">
        <v>0</v>
      </c>
      <c r="J336" t="s">
        <v>20</v>
      </c>
      <c r="K336" t="s">
        <v>164</v>
      </c>
      <c r="L336" t="s">
        <v>22</v>
      </c>
      <c r="M336">
        <v>37</v>
      </c>
    </row>
    <row r="337" spans="1:13" x14ac:dyDescent="0.25">
      <c r="A337" t="s">
        <v>120</v>
      </c>
      <c r="B337" t="s">
        <v>121</v>
      </c>
      <c r="C337" t="s">
        <v>161</v>
      </c>
      <c r="D337" t="s">
        <v>162</v>
      </c>
      <c r="E337" t="s">
        <v>163</v>
      </c>
      <c r="F337" t="s">
        <v>71</v>
      </c>
      <c r="G337" t="s">
        <v>72</v>
      </c>
      <c r="H337">
        <v>5</v>
      </c>
      <c r="I337">
        <v>0</v>
      </c>
      <c r="J337" t="s">
        <v>20</v>
      </c>
      <c r="K337" t="s">
        <v>164</v>
      </c>
      <c r="L337" t="s">
        <v>22</v>
      </c>
      <c r="M337">
        <v>37</v>
      </c>
    </row>
    <row r="338" spans="1:13" x14ac:dyDescent="0.25">
      <c r="A338" t="s">
        <v>120</v>
      </c>
      <c r="B338" t="s">
        <v>121</v>
      </c>
      <c r="C338" t="s">
        <v>161</v>
      </c>
      <c r="D338" t="s">
        <v>162</v>
      </c>
      <c r="E338" t="s">
        <v>163</v>
      </c>
      <c r="F338" t="s">
        <v>31</v>
      </c>
      <c r="G338" t="s">
        <v>32</v>
      </c>
      <c r="H338">
        <v>5</v>
      </c>
      <c r="I338">
        <v>0</v>
      </c>
      <c r="J338" t="s">
        <v>20</v>
      </c>
      <c r="K338" t="s">
        <v>164</v>
      </c>
      <c r="L338" t="s">
        <v>22</v>
      </c>
      <c r="M338">
        <v>37</v>
      </c>
    </row>
    <row r="339" spans="1:13" x14ac:dyDescent="0.25">
      <c r="A339" t="s">
        <v>120</v>
      </c>
      <c r="B339" t="s">
        <v>121</v>
      </c>
      <c r="C339" t="s">
        <v>157</v>
      </c>
      <c r="D339" t="s">
        <v>158</v>
      </c>
      <c r="E339" t="s">
        <v>159</v>
      </c>
      <c r="F339" t="s">
        <v>18</v>
      </c>
      <c r="G339" t="s">
        <v>19</v>
      </c>
      <c r="H339">
        <v>0</v>
      </c>
      <c r="I339">
        <v>1</v>
      </c>
      <c r="J339" t="s">
        <v>20</v>
      </c>
      <c r="K339" t="s">
        <v>160</v>
      </c>
      <c r="L339" t="s">
        <v>22</v>
      </c>
      <c r="M339">
        <v>40</v>
      </c>
    </row>
    <row r="340" spans="1:13" x14ac:dyDescent="0.25">
      <c r="A340" t="s">
        <v>120</v>
      </c>
      <c r="B340" t="s">
        <v>121</v>
      </c>
      <c r="C340" t="s">
        <v>157</v>
      </c>
      <c r="D340" t="s">
        <v>158</v>
      </c>
      <c r="E340" t="s">
        <v>159</v>
      </c>
      <c r="F340" t="s">
        <v>23</v>
      </c>
      <c r="G340" t="s">
        <v>24</v>
      </c>
      <c r="H340">
        <v>0</v>
      </c>
      <c r="I340">
        <v>2</v>
      </c>
      <c r="J340" t="s">
        <v>20</v>
      </c>
      <c r="K340" t="s">
        <v>160</v>
      </c>
      <c r="L340" t="s">
        <v>22</v>
      </c>
      <c r="M340">
        <v>40</v>
      </c>
    </row>
    <row r="341" spans="1:13" x14ac:dyDescent="0.25">
      <c r="A341" t="s">
        <v>120</v>
      </c>
      <c r="B341" t="s">
        <v>121</v>
      </c>
      <c r="C341" t="s">
        <v>157</v>
      </c>
      <c r="D341" t="s">
        <v>158</v>
      </c>
      <c r="E341" t="s">
        <v>159</v>
      </c>
      <c r="F341" t="s">
        <v>51</v>
      </c>
      <c r="G341" t="s">
        <v>52</v>
      </c>
      <c r="H341">
        <v>0</v>
      </c>
      <c r="I341">
        <v>2</v>
      </c>
      <c r="J341" t="s">
        <v>20</v>
      </c>
      <c r="K341" t="s">
        <v>160</v>
      </c>
      <c r="L341" t="s">
        <v>22</v>
      </c>
      <c r="M341">
        <v>40</v>
      </c>
    </row>
    <row r="342" spans="1:13" x14ac:dyDescent="0.25">
      <c r="A342" t="s">
        <v>120</v>
      </c>
      <c r="B342" t="s">
        <v>121</v>
      </c>
      <c r="C342" t="s">
        <v>157</v>
      </c>
      <c r="D342" t="s">
        <v>158</v>
      </c>
      <c r="E342" t="s">
        <v>159</v>
      </c>
      <c r="F342" t="s">
        <v>59</v>
      </c>
      <c r="G342" t="s">
        <v>60</v>
      </c>
      <c r="H342">
        <v>0</v>
      </c>
      <c r="I342">
        <v>4</v>
      </c>
      <c r="J342" t="s">
        <v>20</v>
      </c>
      <c r="K342" t="s">
        <v>160</v>
      </c>
      <c r="L342" t="s">
        <v>22</v>
      </c>
      <c r="M342">
        <v>40</v>
      </c>
    </row>
    <row r="343" spans="1:13" x14ac:dyDescent="0.25">
      <c r="A343" t="s">
        <v>120</v>
      </c>
      <c r="B343" t="s">
        <v>121</v>
      </c>
      <c r="C343" t="s">
        <v>157</v>
      </c>
      <c r="D343" t="s">
        <v>158</v>
      </c>
      <c r="E343" t="s">
        <v>159</v>
      </c>
      <c r="F343" t="s">
        <v>63</v>
      </c>
      <c r="G343" t="s">
        <v>64</v>
      </c>
      <c r="H343">
        <v>6</v>
      </c>
      <c r="I343">
        <v>0</v>
      </c>
      <c r="J343" t="s">
        <v>20</v>
      </c>
      <c r="K343" t="s">
        <v>160</v>
      </c>
      <c r="L343" t="s">
        <v>22</v>
      </c>
      <c r="M343">
        <v>40</v>
      </c>
    </row>
    <row r="344" spans="1:13" x14ac:dyDescent="0.25">
      <c r="A344" t="s">
        <v>120</v>
      </c>
      <c r="B344" t="s">
        <v>121</v>
      </c>
      <c r="C344" t="s">
        <v>157</v>
      </c>
      <c r="D344" t="s">
        <v>158</v>
      </c>
      <c r="E344" t="s">
        <v>159</v>
      </c>
      <c r="F344" t="s">
        <v>65</v>
      </c>
      <c r="G344" t="s">
        <v>66</v>
      </c>
      <c r="H344">
        <v>0</v>
      </c>
      <c r="I344">
        <v>3</v>
      </c>
      <c r="J344" t="s">
        <v>20</v>
      </c>
      <c r="K344" t="s">
        <v>160</v>
      </c>
      <c r="L344" t="s">
        <v>22</v>
      </c>
      <c r="M344">
        <v>40</v>
      </c>
    </row>
    <row r="345" spans="1:13" x14ac:dyDescent="0.25">
      <c r="A345" t="s">
        <v>83</v>
      </c>
      <c r="B345" t="s">
        <v>84</v>
      </c>
      <c r="C345" t="s">
        <v>148</v>
      </c>
      <c r="D345" t="s">
        <v>149</v>
      </c>
      <c r="E345" t="s">
        <v>150</v>
      </c>
      <c r="F345" t="s">
        <v>18</v>
      </c>
      <c r="G345" t="s">
        <v>19</v>
      </c>
      <c r="H345">
        <v>0</v>
      </c>
      <c r="I345">
        <v>2</v>
      </c>
      <c r="J345" t="s">
        <v>20</v>
      </c>
      <c r="K345" t="s">
        <v>151</v>
      </c>
      <c r="L345" t="s">
        <v>22</v>
      </c>
      <c r="M345">
        <v>31</v>
      </c>
    </row>
    <row r="346" spans="1:13" x14ac:dyDescent="0.25">
      <c r="A346" t="s">
        <v>83</v>
      </c>
      <c r="B346" t="s">
        <v>84</v>
      </c>
      <c r="C346" t="s">
        <v>148</v>
      </c>
      <c r="D346" t="s">
        <v>149</v>
      </c>
      <c r="E346" t="s">
        <v>150</v>
      </c>
      <c r="F346" t="s">
        <v>39</v>
      </c>
      <c r="G346" t="s">
        <v>40</v>
      </c>
      <c r="H346">
        <v>0</v>
      </c>
      <c r="I346">
        <v>1</v>
      </c>
      <c r="J346" t="s">
        <v>20</v>
      </c>
      <c r="K346" t="s">
        <v>151</v>
      </c>
      <c r="L346" t="s">
        <v>22</v>
      </c>
      <c r="M346">
        <v>31</v>
      </c>
    </row>
    <row r="347" spans="1:13" x14ac:dyDescent="0.25">
      <c r="A347" t="s">
        <v>83</v>
      </c>
      <c r="B347" t="s">
        <v>84</v>
      </c>
      <c r="C347" t="s">
        <v>148</v>
      </c>
      <c r="D347" t="s">
        <v>149</v>
      </c>
      <c r="E347" t="s">
        <v>150</v>
      </c>
      <c r="F347" t="s">
        <v>43</v>
      </c>
      <c r="G347" t="s">
        <v>44</v>
      </c>
      <c r="H347">
        <v>0</v>
      </c>
      <c r="I347">
        <v>3</v>
      </c>
      <c r="J347" t="s">
        <v>20</v>
      </c>
      <c r="K347" t="s">
        <v>151</v>
      </c>
      <c r="L347" t="s">
        <v>22</v>
      </c>
      <c r="M347">
        <v>31</v>
      </c>
    </row>
    <row r="348" spans="1:13" x14ac:dyDescent="0.25">
      <c r="A348" t="s">
        <v>83</v>
      </c>
      <c r="B348" t="s">
        <v>84</v>
      </c>
      <c r="C348" t="s">
        <v>148</v>
      </c>
      <c r="D348" t="s">
        <v>149</v>
      </c>
      <c r="E348" t="s">
        <v>150</v>
      </c>
      <c r="F348" t="s">
        <v>45</v>
      </c>
      <c r="G348" t="s">
        <v>46</v>
      </c>
      <c r="H348">
        <v>0</v>
      </c>
      <c r="I348">
        <v>7</v>
      </c>
      <c r="J348" t="s">
        <v>20</v>
      </c>
      <c r="K348" t="s">
        <v>151</v>
      </c>
      <c r="L348" t="s">
        <v>22</v>
      </c>
      <c r="M348">
        <v>31</v>
      </c>
    </row>
    <row r="349" spans="1:13" x14ac:dyDescent="0.25">
      <c r="A349" t="s">
        <v>83</v>
      </c>
      <c r="B349" t="s">
        <v>84</v>
      </c>
      <c r="C349" t="s">
        <v>148</v>
      </c>
      <c r="D349" t="s">
        <v>149</v>
      </c>
      <c r="E349" t="s">
        <v>150</v>
      </c>
      <c r="F349" t="s">
        <v>49</v>
      </c>
      <c r="G349" t="s">
        <v>50</v>
      </c>
      <c r="H349">
        <v>5</v>
      </c>
      <c r="I349">
        <v>0</v>
      </c>
      <c r="J349" t="s">
        <v>20</v>
      </c>
      <c r="K349" t="s">
        <v>151</v>
      </c>
      <c r="L349" t="s">
        <v>22</v>
      </c>
      <c r="M349">
        <v>31</v>
      </c>
    </row>
    <row r="350" spans="1:13" x14ac:dyDescent="0.25">
      <c r="A350" t="s">
        <v>83</v>
      </c>
      <c r="B350" t="s">
        <v>84</v>
      </c>
      <c r="C350" t="s">
        <v>148</v>
      </c>
      <c r="D350" t="s">
        <v>149</v>
      </c>
      <c r="E350" t="s">
        <v>150</v>
      </c>
      <c r="F350" t="s">
        <v>51</v>
      </c>
      <c r="G350" t="s">
        <v>52</v>
      </c>
      <c r="H350">
        <v>0</v>
      </c>
      <c r="I350">
        <v>10</v>
      </c>
      <c r="J350" t="s">
        <v>20</v>
      </c>
      <c r="K350" t="s">
        <v>151</v>
      </c>
      <c r="L350" t="s">
        <v>22</v>
      </c>
      <c r="M350">
        <v>31</v>
      </c>
    </row>
    <row r="351" spans="1:13" x14ac:dyDescent="0.25">
      <c r="A351" t="s">
        <v>83</v>
      </c>
      <c r="B351" t="s">
        <v>84</v>
      </c>
      <c r="C351" t="s">
        <v>148</v>
      </c>
      <c r="D351" t="s">
        <v>149</v>
      </c>
      <c r="E351" t="s">
        <v>150</v>
      </c>
      <c r="F351" t="s">
        <v>53</v>
      </c>
      <c r="G351" t="s">
        <v>54</v>
      </c>
      <c r="H351">
        <v>0</v>
      </c>
      <c r="I351">
        <v>1</v>
      </c>
      <c r="J351" t="s">
        <v>20</v>
      </c>
      <c r="K351" t="s">
        <v>151</v>
      </c>
      <c r="L351" t="s">
        <v>22</v>
      </c>
      <c r="M351">
        <v>31</v>
      </c>
    </row>
    <row r="352" spans="1:13" x14ac:dyDescent="0.25">
      <c r="A352" t="s">
        <v>83</v>
      </c>
      <c r="B352" t="s">
        <v>84</v>
      </c>
      <c r="C352" t="s">
        <v>148</v>
      </c>
      <c r="D352" t="s">
        <v>149</v>
      </c>
      <c r="E352" t="s">
        <v>150</v>
      </c>
      <c r="F352" t="s">
        <v>59</v>
      </c>
      <c r="G352" t="s">
        <v>60</v>
      </c>
      <c r="H352">
        <v>0</v>
      </c>
      <c r="I352">
        <v>7</v>
      </c>
      <c r="J352" t="s">
        <v>20</v>
      </c>
      <c r="K352" t="s">
        <v>151</v>
      </c>
      <c r="L352" t="s">
        <v>22</v>
      </c>
      <c r="M352">
        <v>31</v>
      </c>
    </row>
    <row r="353" spans="1:13" x14ac:dyDescent="0.25">
      <c r="A353" t="s">
        <v>83</v>
      </c>
      <c r="B353" t="s">
        <v>84</v>
      </c>
      <c r="C353" t="s">
        <v>148</v>
      </c>
      <c r="D353" t="s">
        <v>149</v>
      </c>
      <c r="E353" t="s">
        <v>150</v>
      </c>
      <c r="F353" t="s">
        <v>61</v>
      </c>
      <c r="G353" t="s">
        <v>62</v>
      </c>
      <c r="H353">
        <v>0</v>
      </c>
      <c r="I353">
        <v>1</v>
      </c>
      <c r="J353" t="s">
        <v>20</v>
      </c>
      <c r="K353" t="s">
        <v>151</v>
      </c>
      <c r="L353" t="s">
        <v>22</v>
      </c>
      <c r="M353">
        <v>31</v>
      </c>
    </row>
    <row r="354" spans="1:13" x14ac:dyDescent="0.25">
      <c r="A354" t="s">
        <v>83</v>
      </c>
      <c r="B354" t="s">
        <v>84</v>
      </c>
      <c r="C354" t="s">
        <v>148</v>
      </c>
      <c r="D354" t="s">
        <v>149</v>
      </c>
      <c r="E354" t="s">
        <v>150</v>
      </c>
      <c r="F354" t="s">
        <v>63</v>
      </c>
      <c r="G354" t="s">
        <v>64</v>
      </c>
      <c r="H354">
        <v>0</v>
      </c>
      <c r="I354">
        <v>1</v>
      </c>
      <c r="J354" t="s">
        <v>20</v>
      </c>
      <c r="K354" t="s">
        <v>151</v>
      </c>
      <c r="L354" t="s">
        <v>22</v>
      </c>
      <c r="M354">
        <v>31</v>
      </c>
    </row>
    <row r="355" spans="1:13" x14ac:dyDescent="0.25">
      <c r="A355" t="s">
        <v>83</v>
      </c>
      <c r="B355" t="s">
        <v>84</v>
      </c>
      <c r="C355" t="s">
        <v>148</v>
      </c>
      <c r="D355" t="s">
        <v>149</v>
      </c>
      <c r="E355" t="s">
        <v>150</v>
      </c>
      <c r="F355" t="s">
        <v>25</v>
      </c>
      <c r="G355" t="s">
        <v>26</v>
      </c>
      <c r="H355">
        <v>0</v>
      </c>
      <c r="I355">
        <v>1</v>
      </c>
      <c r="J355" t="s">
        <v>20</v>
      </c>
      <c r="K355" t="s">
        <v>151</v>
      </c>
      <c r="L355" t="s">
        <v>22</v>
      </c>
      <c r="M355">
        <v>31</v>
      </c>
    </row>
    <row r="356" spans="1:13" x14ac:dyDescent="0.25">
      <c r="A356" t="s">
        <v>83</v>
      </c>
      <c r="B356" t="s">
        <v>84</v>
      </c>
      <c r="C356" t="s">
        <v>148</v>
      </c>
      <c r="D356" t="s">
        <v>149</v>
      </c>
      <c r="E356" t="s">
        <v>150</v>
      </c>
      <c r="F356" t="s">
        <v>27</v>
      </c>
      <c r="G356" t="s">
        <v>28</v>
      </c>
      <c r="H356">
        <v>0</v>
      </c>
      <c r="I356">
        <v>1</v>
      </c>
      <c r="J356" t="s">
        <v>20</v>
      </c>
      <c r="K356" t="s">
        <v>151</v>
      </c>
      <c r="L356" t="s">
        <v>22</v>
      </c>
      <c r="M356">
        <v>31</v>
      </c>
    </row>
    <row r="357" spans="1:13" x14ac:dyDescent="0.25">
      <c r="A357" t="s">
        <v>83</v>
      </c>
      <c r="B357" t="s">
        <v>84</v>
      </c>
      <c r="C357" t="s">
        <v>148</v>
      </c>
      <c r="D357" t="s">
        <v>149</v>
      </c>
      <c r="E357" t="s">
        <v>150</v>
      </c>
      <c r="F357" t="s">
        <v>65</v>
      </c>
      <c r="G357" t="s">
        <v>66</v>
      </c>
      <c r="H357">
        <v>0</v>
      </c>
      <c r="I357">
        <v>10</v>
      </c>
      <c r="J357" t="s">
        <v>20</v>
      </c>
      <c r="K357" t="s">
        <v>151</v>
      </c>
      <c r="L357" t="s">
        <v>22</v>
      </c>
      <c r="M357">
        <v>31</v>
      </c>
    </row>
    <row r="358" spans="1:13" x14ac:dyDescent="0.25">
      <c r="A358" t="s">
        <v>83</v>
      </c>
      <c r="B358" t="s">
        <v>84</v>
      </c>
      <c r="C358" t="s">
        <v>148</v>
      </c>
      <c r="D358" t="s">
        <v>149</v>
      </c>
      <c r="E358" t="s">
        <v>150</v>
      </c>
      <c r="F358" t="s">
        <v>67</v>
      </c>
      <c r="G358" t="s">
        <v>68</v>
      </c>
      <c r="H358">
        <v>0</v>
      </c>
      <c r="I358">
        <v>1</v>
      </c>
      <c r="J358" t="s">
        <v>20</v>
      </c>
      <c r="K358" t="s">
        <v>151</v>
      </c>
      <c r="L358" t="s">
        <v>22</v>
      </c>
      <c r="M358">
        <v>31</v>
      </c>
    </row>
    <row r="359" spans="1:13" x14ac:dyDescent="0.25">
      <c r="A359" t="s">
        <v>83</v>
      </c>
      <c r="B359" t="s">
        <v>84</v>
      </c>
      <c r="C359" t="s">
        <v>148</v>
      </c>
      <c r="D359" t="s">
        <v>149</v>
      </c>
      <c r="E359" t="s">
        <v>150</v>
      </c>
      <c r="F359" t="s">
        <v>29</v>
      </c>
      <c r="G359" t="s">
        <v>30</v>
      </c>
      <c r="H359">
        <v>0</v>
      </c>
      <c r="I359">
        <v>2</v>
      </c>
      <c r="J359" t="s">
        <v>20</v>
      </c>
      <c r="K359" t="s">
        <v>151</v>
      </c>
      <c r="L359" t="s">
        <v>22</v>
      </c>
      <c r="M359">
        <v>31</v>
      </c>
    </row>
    <row r="360" spans="1:13" x14ac:dyDescent="0.25">
      <c r="A360" t="s">
        <v>83</v>
      </c>
      <c r="B360" t="s">
        <v>84</v>
      </c>
      <c r="C360" t="s">
        <v>148</v>
      </c>
      <c r="D360" t="s">
        <v>149</v>
      </c>
      <c r="E360" t="s">
        <v>150</v>
      </c>
      <c r="F360" t="s">
        <v>71</v>
      </c>
      <c r="G360" t="s">
        <v>72</v>
      </c>
      <c r="H360">
        <v>0</v>
      </c>
      <c r="I360">
        <v>2</v>
      </c>
      <c r="J360" t="s">
        <v>20</v>
      </c>
      <c r="K360" t="s">
        <v>151</v>
      </c>
      <c r="L360" t="s">
        <v>22</v>
      </c>
      <c r="M360">
        <v>31</v>
      </c>
    </row>
    <row r="361" spans="1:13" x14ac:dyDescent="0.25">
      <c r="A361" t="s">
        <v>152</v>
      </c>
      <c r="B361" t="s">
        <v>153</v>
      </c>
      <c r="C361" t="s">
        <v>154</v>
      </c>
      <c r="D361" t="s">
        <v>155</v>
      </c>
      <c r="E361" t="s">
        <v>156</v>
      </c>
      <c r="F361" t="s">
        <v>51</v>
      </c>
      <c r="G361" t="s">
        <v>52</v>
      </c>
      <c r="H361">
        <v>0</v>
      </c>
      <c r="I361">
        <v>1</v>
      </c>
      <c r="J361" t="s">
        <v>20</v>
      </c>
      <c r="K361" t="s">
        <v>151</v>
      </c>
      <c r="L361" t="s">
        <v>22</v>
      </c>
      <c r="M361">
        <v>46</v>
      </c>
    </row>
    <row r="362" spans="1:13" x14ac:dyDescent="0.25">
      <c r="A362" t="s">
        <v>152</v>
      </c>
      <c r="B362" t="s">
        <v>153</v>
      </c>
      <c r="C362" t="s">
        <v>154</v>
      </c>
      <c r="D362" t="s">
        <v>155</v>
      </c>
      <c r="E362" t="s">
        <v>156</v>
      </c>
      <c r="F362" t="s">
        <v>81</v>
      </c>
      <c r="G362" t="s">
        <v>82</v>
      </c>
      <c r="H362">
        <v>0</v>
      </c>
      <c r="I362">
        <v>1</v>
      </c>
      <c r="J362" t="s">
        <v>20</v>
      </c>
      <c r="K362" t="s">
        <v>151</v>
      </c>
      <c r="L362" t="s">
        <v>22</v>
      </c>
      <c r="M362">
        <v>46</v>
      </c>
    </row>
    <row r="363" spans="1:13" x14ac:dyDescent="0.25">
      <c r="A363" t="s">
        <v>152</v>
      </c>
      <c r="B363" t="s">
        <v>153</v>
      </c>
      <c r="C363" t="s">
        <v>154</v>
      </c>
      <c r="D363" t="s">
        <v>155</v>
      </c>
      <c r="E363" t="s">
        <v>156</v>
      </c>
      <c r="F363" t="s">
        <v>59</v>
      </c>
      <c r="G363" t="s">
        <v>60</v>
      </c>
      <c r="H363">
        <v>0</v>
      </c>
      <c r="I363">
        <v>1</v>
      </c>
      <c r="J363" t="s">
        <v>20</v>
      </c>
      <c r="K363" t="s">
        <v>151</v>
      </c>
      <c r="L363" t="s">
        <v>22</v>
      </c>
      <c r="M363">
        <v>46</v>
      </c>
    </row>
    <row r="364" spans="1:13" x14ac:dyDescent="0.25">
      <c r="A364" t="s">
        <v>152</v>
      </c>
      <c r="B364" t="s">
        <v>153</v>
      </c>
      <c r="C364" t="s">
        <v>154</v>
      </c>
      <c r="D364" t="s">
        <v>155</v>
      </c>
      <c r="E364" t="s">
        <v>156</v>
      </c>
      <c r="F364" t="s">
        <v>63</v>
      </c>
      <c r="G364" t="s">
        <v>64</v>
      </c>
      <c r="H364">
        <v>0</v>
      </c>
      <c r="I364">
        <v>1</v>
      </c>
      <c r="J364" t="s">
        <v>20</v>
      </c>
      <c r="K364" t="s">
        <v>151</v>
      </c>
      <c r="L364" t="s">
        <v>22</v>
      </c>
      <c r="M364">
        <v>46</v>
      </c>
    </row>
    <row r="365" spans="1:13" x14ac:dyDescent="0.25">
      <c r="A365" t="s">
        <v>89</v>
      </c>
      <c r="B365" t="s">
        <v>90</v>
      </c>
      <c r="C365" t="s">
        <v>141</v>
      </c>
      <c r="D365" t="s">
        <v>142</v>
      </c>
      <c r="E365" t="s">
        <v>143</v>
      </c>
      <c r="F365" t="s">
        <v>45</v>
      </c>
      <c r="G365" t="s">
        <v>46</v>
      </c>
      <c r="H365">
        <v>0</v>
      </c>
      <c r="I365">
        <v>3</v>
      </c>
      <c r="J365" t="s">
        <v>20</v>
      </c>
      <c r="K365" t="s">
        <v>144</v>
      </c>
      <c r="L365" t="s">
        <v>22</v>
      </c>
      <c r="M365">
        <v>29</v>
      </c>
    </row>
    <row r="366" spans="1:13" x14ac:dyDescent="0.25">
      <c r="A366" t="s">
        <v>89</v>
      </c>
      <c r="B366" t="s">
        <v>90</v>
      </c>
      <c r="C366" t="s">
        <v>141</v>
      </c>
      <c r="D366" t="s">
        <v>142</v>
      </c>
      <c r="E366" t="s">
        <v>143</v>
      </c>
      <c r="F366" t="s">
        <v>47</v>
      </c>
      <c r="G366" t="s">
        <v>48</v>
      </c>
      <c r="H366">
        <v>0</v>
      </c>
      <c r="I366">
        <v>1</v>
      </c>
      <c r="J366" t="s">
        <v>20</v>
      </c>
      <c r="K366" t="s">
        <v>144</v>
      </c>
      <c r="L366" t="s">
        <v>22</v>
      </c>
      <c r="M366">
        <v>29</v>
      </c>
    </row>
    <row r="367" spans="1:13" x14ac:dyDescent="0.25">
      <c r="A367" t="s">
        <v>89</v>
      </c>
      <c r="B367" t="s">
        <v>90</v>
      </c>
      <c r="C367" t="s">
        <v>141</v>
      </c>
      <c r="D367" t="s">
        <v>142</v>
      </c>
      <c r="E367" t="s">
        <v>143</v>
      </c>
      <c r="F367" t="s">
        <v>23</v>
      </c>
      <c r="G367" t="s">
        <v>24</v>
      </c>
      <c r="H367">
        <v>0</v>
      </c>
      <c r="I367">
        <v>1</v>
      </c>
      <c r="J367" t="s">
        <v>20</v>
      </c>
      <c r="K367" t="s">
        <v>144</v>
      </c>
      <c r="L367" t="s">
        <v>22</v>
      </c>
      <c r="M367">
        <v>29</v>
      </c>
    </row>
    <row r="368" spans="1:13" x14ac:dyDescent="0.25">
      <c r="A368" t="s">
        <v>89</v>
      </c>
      <c r="B368" t="s">
        <v>90</v>
      </c>
      <c r="C368" t="s">
        <v>141</v>
      </c>
      <c r="D368" t="s">
        <v>142</v>
      </c>
      <c r="E368" t="s">
        <v>143</v>
      </c>
      <c r="F368" t="s">
        <v>51</v>
      </c>
      <c r="G368" t="s">
        <v>52</v>
      </c>
      <c r="H368">
        <v>0</v>
      </c>
      <c r="I368">
        <v>7</v>
      </c>
      <c r="J368" t="s">
        <v>20</v>
      </c>
      <c r="K368" t="s">
        <v>144</v>
      </c>
      <c r="L368" t="s">
        <v>22</v>
      </c>
      <c r="M368">
        <v>29</v>
      </c>
    </row>
    <row r="369" spans="1:13" x14ac:dyDescent="0.25">
      <c r="A369" t="s">
        <v>89</v>
      </c>
      <c r="B369" t="s">
        <v>90</v>
      </c>
      <c r="C369" t="s">
        <v>141</v>
      </c>
      <c r="D369" t="s">
        <v>142</v>
      </c>
      <c r="E369" t="s">
        <v>143</v>
      </c>
      <c r="F369" t="s">
        <v>59</v>
      </c>
      <c r="G369" t="s">
        <v>60</v>
      </c>
      <c r="H369">
        <v>0</v>
      </c>
      <c r="I369">
        <v>3</v>
      </c>
      <c r="J369" t="s">
        <v>20</v>
      </c>
      <c r="K369" t="s">
        <v>144</v>
      </c>
      <c r="L369" t="s">
        <v>22</v>
      </c>
      <c r="M369">
        <v>29</v>
      </c>
    </row>
    <row r="370" spans="1:13" x14ac:dyDescent="0.25">
      <c r="A370" t="s">
        <v>89</v>
      </c>
      <c r="B370" t="s">
        <v>90</v>
      </c>
      <c r="C370" t="s">
        <v>141</v>
      </c>
      <c r="D370" t="s">
        <v>142</v>
      </c>
      <c r="E370" t="s">
        <v>143</v>
      </c>
      <c r="F370" t="s">
        <v>61</v>
      </c>
      <c r="G370" t="s">
        <v>62</v>
      </c>
      <c r="H370">
        <v>0</v>
      </c>
      <c r="I370">
        <v>1</v>
      </c>
      <c r="J370" t="s">
        <v>20</v>
      </c>
      <c r="K370" t="s">
        <v>144</v>
      </c>
      <c r="L370" t="s">
        <v>22</v>
      </c>
      <c r="M370">
        <v>29</v>
      </c>
    </row>
    <row r="371" spans="1:13" x14ac:dyDescent="0.25">
      <c r="A371" t="s">
        <v>89</v>
      </c>
      <c r="B371" t="s">
        <v>90</v>
      </c>
      <c r="C371" t="s">
        <v>141</v>
      </c>
      <c r="D371" t="s">
        <v>142</v>
      </c>
      <c r="E371" t="s">
        <v>143</v>
      </c>
      <c r="F371" t="s">
        <v>25</v>
      </c>
      <c r="G371" t="s">
        <v>26</v>
      </c>
      <c r="H371">
        <v>0</v>
      </c>
      <c r="I371">
        <v>1</v>
      </c>
      <c r="J371" t="s">
        <v>20</v>
      </c>
      <c r="K371" t="s">
        <v>144</v>
      </c>
      <c r="L371" t="s">
        <v>22</v>
      </c>
      <c r="M371">
        <v>29</v>
      </c>
    </row>
    <row r="372" spans="1:13" x14ac:dyDescent="0.25">
      <c r="A372" t="s">
        <v>89</v>
      </c>
      <c r="B372" t="s">
        <v>90</v>
      </c>
      <c r="C372" t="s">
        <v>141</v>
      </c>
      <c r="D372" t="s">
        <v>142</v>
      </c>
      <c r="E372" t="s">
        <v>143</v>
      </c>
      <c r="F372" t="s">
        <v>65</v>
      </c>
      <c r="G372" t="s">
        <v>66</v>
      </c>
      <c r="H372">
        <v>0</v>
      </c>
      <c r="I372">
        <v>3</v>
      </c>
      <c r="J372" t="s">
        <v>20</v>
      </c>
      <c r="K372" t="s">
        <v>144</v>
      </c>
      <c r="L372" t="s">
        <v>22</v>
      </c>
      <c r="M372">
        <v>29</v>
      </c>
    </row>
    <row r="373" spans="1:13" x14ac:dyDescent="0.25">
      <c r="A373" t="s">
        <v>89</v>
      </c>
      <c r="B373" t="s">
        <v>90</v>
      </c>
      <c r="C373" t="s">
        <v>141</v>
      </c>
      <c r="D373" t="s">
        <v>142</v>
      </c>
      <c r="E373" t="s">
        <v>143</v>
      </c>
      <c r="F373" t="s">
        <v>67</v>
      </c>
      <c r="G373" t="s">
        <v>68</v>
      </c>
      <c r="H373">
        <v>0</v>
      </c>
      <c r="I373">
        <v>1</v>
      </c>
      <c r="J373" t="s">
        <v>20</v>
      </c>
      <c r="K373" t="s">
        <v>144</v>
      </c>
      <c r="L373" t="s">
        <v>22</v>
      </c>
      <c r="M373">
        <v>29</v>
      </c>
    </row>
    <row r="374" spans="1:13" x14ac:dyDescent="0.25">
      <c r="A374" t="s">
        <v>89</v>
      </c>
      <c r="B374" t="s">
        <v>90</v>
      </c>
      <c r="C374" t="s">
        <v>141</v>
      </c>
      <c r="D374" t="s">
        <v>142</v>
      </c>
      <c r="E374" t="s">
        <v>143</v>
      </c>
      <c r="F374" t="s">
        <v>29</v>
      </c>
      <c r="G374" t="s">
        <v>30</v>
      </c>
      <c r="H374">
        <v>0</v>
      </c>
      <c r="I374">
        <v>1</v>
      </c>
      <c r="J374" t="s">
        <v>20</v>
      </c>
      <c r="K374" t="s">
        <v>144</v>
      </c>
      <c r="L374" t="s">
        <v>22</v>
      </c>
      <c r="M374">
        <v>29</v>
      </c>
    </row>
    <row r="375" spans="1:13" x14ac:dyDescent="0.25">
      <c r="A375" t="s">
        <v>89</v>
      </c>
      <c r="B375" t="s">
        <v>90</v>
      </c>
      <c r="C375" t="s">
        <v>141</v>
      </c>
      <c r="D375" t="s">
        <v>142</v>
      </c>
      <c r="E375" t="s">
        <v>143</v>
      </c>
      <c r="F375" t="s">
        <v>69</v>
      </c>
      <c r="G375" t="s">
        <v>70</v>
      </c>
      <c r="H375">
        <v>0</v>
      </c>
      <c r="I375">
        <v>1</v>
      </c>
      <c r="J375" t="s">
        <v>20</v>
      </c>
      <c r="K375" t="s">
        <v>144</v>
      </c>
      <c r="L375" t="s">
        <v>22</v>
      </c>
      <c r="M375">
        <v>29</v>
      </c>
    </row>
    <row r="376" spans="1:13" x14ac:dyDescent="0.25">
      <c r="A376" t="s">
        <v>89</v>
      </c>
      <c r="B376" t="s">
        <v>90</v>
      </c>
      <c r="C376" t="s">
        <v>141</v>
      </c>
      <c r="D376" t="s">
        <v>142</v>
      </c>
      <c r="E376" t="s">
        <v>143</v>
      </c>
      <c r="F376" t="s">
        <v>71</v>
      </c>
      <c r="G376" t="s">
        <v>72</v>
      </c>
      <c r="H376">
        <v>0</v>
      </c>
      <c r="I376">
        <v>2</v>
      </c>
      <c r="J376" t="s">
        <v>20</v>
      </c>
      <c r="K376" t="s">
        <v>144</v>
      </c>
      <c r="L376" t="s">
        <v>22</v>
      </c>
      <c r="M376">
        <v>29</v>
      </c>
    </row>
    <row r="377" spans="1:13" x14ac:dyDescent="0.25">
      <c r="A377" t="s">
        <v>89</v>
      </c>
      <c r="B377" t="s">
        <v>90</v>
      </c>
      <c r="C377" t="s">
        <v>141</v>
      </c>
      <c r="D377" t="s">
        <v>142</v>
      </c>
      <c r="E377" t="s">
        <v>143</v>
      </c>
      <c r="F377" t="s">
        <v>31</v>
      </c>
      <c r="G377" t="s">
        <v>32</v>
      </c>
      <c r="H377">
        <v>0</v>
      </c>
      <c r="I377">
        <v>1</v>
      </c>
      <c r="J377" t="s">
        <v>20</v>
      </c>
      <c r="K377" t="s">
        <v>144</v>
      </c>
      <c r="L377" t="s">
        <v>22</v>
      </c>
      <c r="M377">
        <v>29</v>
      </c>
    </row>
    <row r="378" spans="1:13" x14ac:dyDescent="0.25">
      <c r="A378" t="s">
        <v>103</v>
      </c>
      <c r="B378" t="s">
        <v>104</v>
      </c>
      <c r="C378" t="s">
        <v>145</v>
      </c>
      <c r="D378" t="s">
        <v>146</v>
      </c>
      <c r="E378" t="s">
        <v>147</v>
      </c>
      <c r="F378" t="s">
        <v>18</v>
      </c>
      <c r="G378" t="s">
        <v>19</v>
      </c>
      <c r="H378">
        <v>0</v>
      </c>
      <c r="I378">
        <v>2</v>
      </c>
      <c r="J378" t="s">
        <v>101</v>
      </c>
      <c r="K378" t="s">
        <v>144</v>
      </c>
      <c r="L378" t="s">
        <v>22</v>
      </c>
      <c r="M378">
        <v>20</v>
      </c>
    </row>
    <row r="379" spans="1:13" x14ac:dyDescent="0.25">
      <c r="A379" t="s">
        <v>103</v>
      </c>
      <c r="B379" t="s">
        <v>104</v>
      </c>
      <c r="C379" t="s">
        <v>145</v>
      </c>
      <c r="D379" t="s">
        <v>146</v>
      </c>
      <c r="E379" t="s">
        <v>147</v>
      </c>
      <c r="F379" t="s">
        <v>79</v>
      </c>
      <c r="G379" t="s">
        <v>80</v>
      </c>
      <c r="H379">
        <v>0</v>
      </c>
      <c r="I379">
        <v>1</v>
      </c>
      <c r="J379" t="s">
        <v>101</v>
      </c>
      <c r="K379" t="s">
        <v>144</v>
      </c>
      <c r="L379" t="s">
        <v>22</v>
      </c>
      <c r="M379">
        <v>20</v>
      </c>
    </row>
    <row r="380" spans="1:13" x14ac:dyDescent="0.25">
      <c r="A380" t="s">
        <v>103</v>
      </c>
      <c r="B380" t="s">
        <v>104</v>
      </c>
      <c r="C380" t="s">
        <v>145</v>
      </c>
      <c r="D380" t="s">
        <v>146</v>
      </c>
      <c r="E380" t="s">
        <v>147</v>
      </c>
      <c r="F380" t="s">
        <v>45</v>
      </c>
      <c r="G380" t="s">
        <v>46</v>
      </c>
      <c r="H380">
        <v>0</v>
      </c>
      <c r="I380">
        <v>2</v>
      </c>
      <c r="J380" t="s">
        <v>101</v>
      </c>
      <c r="K380" t="s">
        <v>144</v>
      </c>
      <c r="L380" t="s">
        <v>22</v>
      </c>
      <c r="M380">
        <v>20</v>
      </c>
    </row>
    <row r="381" spans="1:13" x14ac:dyDescent="0.25">
      <c r="A381" t="s">
        <v>103</v>
      </c>
      <c r="B381" t="s">
        <v>104</v>
      </c>
      <c r="C381" t="s">
        <v>145</v>
      </c>
      <c r="D381" t="s">
        <v>146</v>
      </c>
      <c r="E381" t="s">
        <v>147</v>
      </c>
      <c r="F381" t="s">
        <v>51</v>
      </c>
      <c r="G381" t="s">
        <v>52</v>
      </c>
      <c r="H381">
        <v>0</v>
      </c>
      <c r="I381">
        <v>2</v>
      </c>
      <c r="J381" t="s">
        <v>101</v>
      </c>
      <c r="K381" t="s">
        <v>144</v>
      </c>
      <c r="L381" t="s">
        <v>22</v>
      </c>
      <c r="M381">
        <v>20</v>
      </c>
    </row>
    <row r="382" spans="1:13" x14ac:dyDescent="0.25">
      <c r="A382" t="s">
        <v>103</v>
      </c>
      <c r="B382" t="s">
        <v>104</v>
      </c>
      <c r="C382" t="s">
        <v>145</v>
      </c>
      <c r="D382" t="s">
        <v>146</v>
      </c>
      <c r="E382" t="s">
        <v>147</v>
      </c>
      <c r="F382" t="s">
        <v>63</v>
      </c>
      <c r="G382" t="s">
        <v>64</v>
      </c>
      <c r="H382">
        <v>0</v>
      </c>
      <c r="I382">
        <v>1</v>
      </c>
      <c r="J382" t="s">
        <v>101</v>
      </c>
      <c r="K382" t="s">
        <v>144</v>
      </c>
      <c r="L382" t="s">
        <v>22</v>
      </c>
      <c r="M382">
        <v>20</v>
      </c>
    </row>
    <row r="383" spans="1:13" x14ac:dyDescent="0.25">
      <c r="A383" t="s">
        <v>103</v>
      </c>
      <c r="B383" t="s">
        <v>104</v>
      </c>
      <c r="C383" t="s">
        <v>145</v>
      </c>
      <c r="D383" t="s">
        <v>146</v>
      </c>
      <c r="E383" t="s">
        <v>147</v>
      </c>
      <c r="F383" t="s">
        <v>65</v>
      </c>
      <c r="G383" t="s">
        <v>66</v>
      </c>
      <c r="H383">
        <v>0</v>
      </c>
      <c r="I383">
        <v>3</v>
      </c>
      <c r="J383" t="s">
        <v>101</v>
      </c>
      <c r="K383" t="s">
        <v>144</v>
      </c>
      <c r="L383" t="s">
        <v>22</v>
      </c>
      <c r="M383">
        <v>20</v>
      </c>
    </row>
    <row r="384" spans="1:13" x14ac:dyDescent="0.25">
      <c r="A384" t="s">
        <v>103</v>
      </c>
      <c r="B384" t="s">
        <v>104</v>
      </c>
      <c r="C384" t="s">
        <v>145</v>
      </c>
      <c r="D384" t="s">
        <v>146</v>
      </c>
      <c r="E384" t="s">
        <v>147</v>
      </c>
      <c r="F384" t="s">
        <v>67</v>
      </c>
      <c r="G384" t="s">
        <v>68</v>
      </c>
      <c r="H384">
        <v>0</v>
      </c>
      <c r="I384">
        <v>1</v>
      </c>
      <c r="J384" t="s">
        <v>101</v>
      </c>
      <c r="K384" t="s">
        <v>144</v>
      </c>
      <c r="L384" t="s">
        <v>22</v>
      </c>
      <c r="M384">
        <v>20</v>
      </c>
    </row>
    <row r="385" spans="1:13" x14ac:dyDescent="0.25">
      <c r="A385" t="s">
        <v>120</v>
      </c>
      <c r="B385" t="s">
        <v>121</v>
      </c>
      <c r="C385" t="s">
        <v>137</v>
      </c>
      <c r="D385" t="s">
        <v>138</v>
      </c>
      <c r="E385" t="s">
        <v>139</v>
      </c>
      <c r="F385" t="s">
        <v>18</v>
      </c>
      <c r="G385" t="s">
        <v>19</v>
      </c>
      <c r="H385">
        <v>0</v>
      </c>
      <c r="I385">
        <v>1</v>
      </c>
      <c r="J385" t="s">
        <v>101</v>
      </c>
      <c r="K385" t="s">
        <v>140</v>
      </c>
      <c r="L385" t="s">
        <v>22</v>
      </c>
      <c r="M385">
        <v>43</v>
      </c>
    </row>
    <row r="386" spans="1:13" x14ac:dyDescent="0.25">
      <c r="A386" t="s">
        <v>120</v>
      </c>
      <c r="B386" t="s">
        <v>121</v>
      </c>
      <c r="C386" t="s">
        <v>137</v>
      </c>
      <c r="D386" t="s">
        <v>138</v>
      </c>
      <c r="E386" t="s">
        <v>139</v>
      </c>
      <c r="F386" t="s">
        <v>79</v>
      </c>
      <c r="G386" t="s">
        <v>80</v>
      </c>
      <c r="H386">
        <v>0</v>
      </c>
      <c r="I386">
        <v>1</v>
      </c>
      <c r="J386" t="s">
        <v>101</v>
      </c>
      <c r="K386" t="s">
        <v>140</v>
      </c>
      <c r="L386" t="s">
        <v>22</v>
      </c>
      <c r="M386">
        <v>43</v>
      </c>
    </row>
    <row r="387" spans="1:13" x14ac:dyDescent="0.25">
      <c r="A387" t="s">
        <v>120</v>
      </c>
      <c r="B387" t="s">
        <v>121</v>
      </c>
      <c r="C387" t="s">
        <v>137</v>
      </c>
      <c r="D387" t="s">
        <v>138</v>
      </c>
      <c r="E387" t="s">
        <v>139</v>
      </c>
      <c r="F387" t="s">
        <v>39</v>
      </c>
      <c r="G387" t="s">
        <v>40</v>
      </c>
      <c r="H387">
        <v>0</v>
      </c>
      <c r="I387">
        <v>1</v>
      </c>
      <c r="J387" t="s">
        <v>101</v>
      </c>
      <c r="K387" t="s">
        <v>140</v>
      </c>
      <c r="L387" t="s">
        <v>22</v>
      </c>
      <c r="M387">
        <v>43</v>
      </c>
    </row>
    <row r="388" spans="1:13" x14ac:dyDescent="0.25">
      <c r="A388" t="s">
        <v>120</v>
      </c>
      <c r="B388" t="s">
        <v>121</v>
      </c>
      <c r="C388" t="s">
        <v>137</v>
      </c>
      <c r="D388" t="s">
        <v>138</v>
      </c>
      <c r="E388" t="s">
        <v>139</v>
      </c>
      <c r="F388" t="s">
        <v>43</v>
      </c>
      <c r="G388" t="s">
        <v>44</v>
      </c>
      <c r="H388">
        <v>0</v>
      </c>
      <c r="I388">
        <v>1</v>
      </c>
      <c r="J388" t="s">
        <v>101</v>
      </c>
      <c r="K388" t="s">
        <v>140</v>
      </c>
      <c r="L388" t="s">
        <v>22</v>
      </c>
      <c r="M388">
        <v>43</v>
      </c>
    </row>
    <row r="389" spans="1:13" x14ac:dyDescent="0.25">
      <c r="A389" t="s">
        <v>120</v>
      </c>
      <c r="B389" t="s">
        <v>121</v>
      </c>
      <c r="C389" t="s">
        <v>137</v>
      </c>
      <c r="D389" t="s">
        <v>138</v>
      </c>
      <c r="E389" t="s">
        <v>139</v>
      </c>
      <c r="F389" t="s">
        <v>45</v>
      </c>
      <c r="G389" t="s">
        <v>46</v>
      </c>
      <c r="H389">
        <v>0</v>
      </c>
      <c r="I389">
        <v>3</v>
      </c>
      <c r="J389" t="s">
        <v>101</v>
      </c>
      <c r="K389" t="s">
        <v>140</v>
      </c>
      <c r="L389" t="s">
        <v>22</v>
      </c>
      <c r="M389">
        <v>43</v>
      </c>
    </row>
    <row r="390" spans="1:13" x14ac:dyDescent="0.25">
      <c r="A390" t="s">
        <v>120</v>
      </c>
      <c r="B390" t="s">
        <v>121</v>
      </c>
      <c r="C390" t="s">
        <v>137</v>
      </c>
      <c r="D390" t="s">
        <v>138</v>
      </c>
      <c r="E390" t="s">
        <v>139</v>
      </c>
      <c r="F390" t="s">
        <v>47</v>
      </c>
      <c r="G390" t="s">
        <v>48</v>
      </c>
      <c r="H390">
        <v>0</v>
      </c>
      <c r="I390">
        <v>1</v>
      </c>
      <c r="J390" t="s">
        <v>101</v>
      </c>
      <c r="K390" t="s">
        <v>140</v>
      </c>
      <c r="L390" t="s">
        <v>22</v>
      </c>
      <c r="M390">
        <v>43</v>
      </c>
    </row>
    <row r="391" spans="1:13" x14ac:dyDescent="0.25">
      <c r="A391" t="s">
        <v>120</v>
      </c>
      <c r="B391" t="s">
        <v>121</v>
      </c>
      <c r="C391" t="s">
        <v>137</v>
      </c>
      <c r="D391" t="s">
        <v>138</v>
      </c>
      <c r="E391" t="s">
        <v>139</v>
      </c>
      <c r="F391" t="s">
        <v>49</v>
      </c>
      <c r="G391" t="s">
        <v>50</v>
      </c>
      <c r="H391">
        <v>0</v>
      </c>
      <c r="I391">
        <v>1</v>
      </c>
      <c r="J391" t="s">
        <v>101</v>
      </c>
      <c r="K391" t="s">
        <v>140</v>
      </c>
      <c r="L391" t="s">
        <v>22</v>
      </c>
      <c r="M391">
        <v>43</v>
      </c>
    </row>
    <row r="392" spans="1:13" x14ac:dyDescent="0.25">
      <c r="A392" t="s">
        <v>120</v>
      </c>
      <c r="B392" t="s">
        <v>121</v>
      </c>
      <c r="C392" t="s">
        <v>137</v>
      </c>
      <c r="D392" t="s">
        <v>138</v>
      </c>
      <c r="E392" t="s">
        <v>139</v>
      </c>
      <c r="F392" t="s">
        <v>23</v>
      </c>
      <c r="G392" t="s">
        <v>24</v>
      </c>
      <c r="H392">
        <v>0</v>
      </c>
      <c r="I392">
        <v>1</v>
      </c>
      <c r="J392" t="s">
        <v>101</v>
      </c>
      <c r="K392" t="s">
        <v>140</v>
      </c>
      <c r="L392" t="s">
        <v>22</v>
      </c>
      <c r="M392">
        <v>43</v>
      </c>
    </row>
    <row r="393" spans="1:13" x14ac:dyDescent="0.25">
      <c r="A393" t="s">
        <v>120</v>
      </c>
      <c r="B393" t="s">
        <v>121</v>
      </c>
      <c r="C393" t="s">
        <v>137</v>
      </c>
      <c r="D393" t="s">
        <v>138</v>
      </c>
      <c r="E393" t="s">
        <v>139</v>
      </c>
      <c r="F393" t="s">
        <v>51</v>
      </c>
      <c r="G393" t="s">
        <v>52</v>
      </c>
      <c r="H393">
        <v>0</v>
      </c>
      <c r="I393">
        <v>4</v>
      </c>
      <c r="J393" t="s">
        <v>101</v>
      </c>
      <c r="K393" t="s">
        <v>140</v>
      </c>
      <c r="L393" t="s">
        <v>22</v>
      </c>
      <c r="M393">
        <v>43</v>
      </c>
    </row>
    <row r="394" spans="1:13" x14ac:dyDescent="0.25">
      <c r="A394" t="s">
        <v>120</v>
      </c>
      <c r="B394" t="s">
        <v>121</v>
      </c>
      <c r="C394" t="s">
        <v>137</v>
      </c>
      <c r="D394" t="s">
        <v>138</v>
      </c>
      <c r="E394" t="s">
        <v>139</v>
      </c>
      <c r="F394" t="s">
        <v>53</v>
      </c>
      <c r="G394" t="s">
        <v>54</v>
      </c>
      <c r="H394">
        <v>0</v>
      </c>
      <c r="I394">
        <v>1</v>
      </c>
      <c r="J394" t="s">
        <v>101</v>
      </c>
      <c r="K394" t="s">
        <v>140</v>
      </c>
      <c r="L394" t="s">
        <v>22</v>
      </c>
      <c r="M394">
        <v>43</v>
      </c>
    </row>
    <row r="395" spans="1:13" x14ac:dyDescent="0.25">
      <c r="A395" t="s">
        <v>120</v>
      </c>
      <c r="B395" t="s">
        <v>121</v>
      </c>
      <c r="C395" t="s">
        <v>137</v>
      </c>
      <c r="D395" t="s">
        <v>138</v>
      </c>
      <c r="E395" t="s">
        <v>139</v>
      </c>
      <c r="F395" t="s">
        <v>55</v>
      </c>
      <c r="G395" t="s">
        <v>56</v>
      </c>
      <c r="H395">
        <v>0</v>
      </c>
      <c r="I395">
        <v>1</v>
      </c>
      <c r="J395" t="s">
        <v>101</v>
      </c>
      <c r="K395" t="s">
        <v>140</v>
      </c>
      <c r="L395" t="s">
        <v>22</v>
      </c>
      <c r="M395">
        <v>43</v>
      </c>
    </row>
    <row r="396" spans="1:13" x14ac:dyDescent="0.25">
      <c r="A396" t="s">
        <v>120</v>
      </c>
      <c r="B396" t="s">
        <v>121</v>
      </c>
      <c r="C396" t="s">
        <v>137</v>
      </c>
      <c r="D396" t="s">
        <v>138</v>
      </c>
      <c r="E396" t="s">
        <v>139</v>
      </c>
      <c r="F396" t="s">
        <v>81</v>
      </c>
      <c r="G396" t="s">
        <v>82</v>
      </c>
      <c r="H396">
        <v>0</v>
      </c>
      <c r="I396">
        <v>1</v>
      </c>
      <c r="J396" t="s">
        <v>101</v>
      </c>
      <c r="K396" t="s">
        <v>140</v>
      </c>
      <c r="L396" t="s">
        <v>22</v>
      </c>
      <c r="M396">
        <v>43</v>
      </c>
    </row>
    <row r="397" spans="1:13" x14ac:dyDescent="0.25">
      <c r="A397" t="s">
        <v>120</v>
      </c>
      <c r="B397" t="s">
        <v>121</v>
      </c>
      <c r="C397" t="s">
        <v>137</v>
      </c>
      <c r="D397" t="s">
        <v>138</v>
      </c>
      <c r="E397" t="s">
        <v>139</v>
      </c>
      <c r="F397" t="s">
        <v>59</v>
      </c>
      <c r="G397" t="s">
        <v>60</v>
      </c>
      <c r="H397">
        <v>0</v>
      </c>
      <c r="I397">
        <v>3</v>
      </c>
      <c r="J397" t="s">
        <v>101</v>
      </c>
      <c r="K397" t="s">
        <v>140</v>
      </c>
      <c r="L397" t="s">
        <v>22</v>
      </c>
      <c r="M397">
        <v>43</v>
      </c>
    </row>
    <row r="398" spans="1:13" x14ac:dyDescent="0.25">
      <c r="A398" t="s">
        <v>120</v>
      </c>
      <c r="B398" t="s">
        <v>121</v>
      </c>
      <c r="C398" t="s">
        <v>137</v>
      </c>
      <c r="D398" t="s">
        <v>138</v>
      </c>
      <c r="E398" t="s">
        <v>139</v>
      </c>
      <c r="F398" t="s">
        <v>61</v>
      </c>
      <c r="G398" t="s">
        <v>62</v>
      </c>
      <c r="H398">
        <v>0</v>
      </c>
      <c r="I398">
        <v>1</v>
      </c>
      <c r="J398" t="s">
        <v>101</v>
      </c>
      <c r="K398" t="s">
        <v>140</v>
      </c>
      <c r="L398" t="s">
        <v>22</v>
      </c>
      <c r="M398">
        <v>43</v>
      </c>
    </row>
    <row r="399" spans="1:13" x14ac:dyDescent="0.25">
      <c r="A399" t="s">
        <v>120</v>
      </c>
      <c r="B399" t="s">
        <v>121</v>
      </c>
      <c r="C399" t="s">
        <v>137</v>
      </c>
      <c r="D399" t="s">
        <v>138</v>
      </c>
      <c r="E399" t="s">
        <v>139</v>
      </c>
      <c r="F399" t="s">
        <v>63</v>
      </c>
      <c r="G399" t="s">
        <v>64</v>
      </c>
      <c r="H399">
        <v>0</v>
      </c>
      <c r="I399">
        <v>1</v>
      </c>
      <c r="J399" t="s">
        <v>101</v>
      </c>
      <c r="K399" t="s">
        <v>140</v>
      </c>
      <c r="L399" t="s">
        <v>22</v>
      </c>
      <c r="M399">
        <v>43</v>
      </c>
    </row>
    <row r="400" spans="1:13" x14ac:dyDescent="0.25">
      <c r="A400" t="s">
        <v>120</v>
      </c>
      <c r="B400" t="s">
        <v>121</v>
      </c>
      <c r="C400" t="s">
        <v>137</v>
      </c>
      <c r="D400" t="s">
        <v>138</v>
      </c>
      <c r="E400" t="s">
        <v>139</v>
      </c>
      <c r="F400" t="s">
        <v>25</v>
      </c>
      <c r="G400" t="s">
        <v>26</v>
      </c>
      <c r="H400">
        <v>0</v>
      </c>
      <c r="I400">
        <v>1</v>
      </c>
      <c r="J400" t="s">
        <v>101</v>
      </c>
      <c r="K400" t="s">
        <v>140</v>
      </c>
      <c r="L400" t="s">
        <v>22</v>
      </c>
      <c r="M400">
        <v>43</v>
      </c>
    </row>
    <row r="401" spans="1:13" x14ac:dyDescent="0.25">
      <c r="A401" t="s">
        <v>120</v>
      </c>
      <c r="B401" t="s">
        <v>121</v>
      </c>
      <c r="C401" t="s">
        <v>137</v>
      </c>
      <c r="D401" t="s">
        <v>138</v>
      </c>
      <c r="E401" t="s">
        <v>139</v>
      </c>
      <c r="F401" t="s">
        <v>27</v>
      </c>
      <c r="G401" t="s">
        <v>28</v>
      </c>
      <c r="H401">
        <v>0</v>
      </c>
      <c r="I401">
        <v>1</v>
      </c>
      <c r="J401" t="s">
        <v>101</v>
      </c>
      <c r="K401" t="s">
        <v>140</v>
      </c>
      <c r="L401" t="s">
        <v>22</v>
      </c>
      <c r="M401">
        <v>43</v>
      </c>
    </row>
    <row r="402" spans="1:13" x14ac:dyDescent="0.25">
      <c r="A402" t="s">
        <v>120</v>
      </c>
      <c r="B402" t="s">
        <v>121</v>
      </c>
      <c r="C402" t="s">
        <v>137</v>
      </c>
      <c r="D402" t="s">
        <v>138</v>
      </c>
      <c r="E402" t="s">
        <v>139</v>
      </c>
      <c r="F402" t="s">
        <v>65</v>
      </c>
      <c r="G402" t="s">
        <v>66</v>
      </c>
      <c r="H402">
        <v>0</v>
      </c>
      <c r="I402">
        <v>4</v>
      </c>
      <c r="J402" t="s">
        <v>101</v>
      </c>
      <c r="K402" t="s">
        <v>140</v>
      </c>
      <c r="L402" t="s">
        <v>22</v>
      </c>
      <c r="M402">
        <v>43</v>
      </c>
    </row>
    <row r="403" spans="1:13" x14ac:dyDescent="0.25">
      <c r="A403" t="s">
        <v>120</v>
      </c>
      <c r="B403" t="s">
        <v>121</v>
      </c>
      <c r="C403" t="s">
        <v>137</v>
      </c>
      <c r="D403" t="s">
        <v>138</v>
      </c>
      <c r="E403" t="s">
        <v>139</v>
      </c>
      <c r="F403" t="s">
        <v>67</v>
      </c>
      <c r="G403" t="s">
        <v>68</v>
      </c>
      <c r="H403">
        <v>0</v>
      </c>
      <c r="I403">
        <v>1</v>
      </c>
      <c r="J403" t="s">
        <v>101</v>
      </c>
      <c r="K403" t="s">
        <v>140</v>
      </c>
      <c r="L403" t="s">
        <v>22</v>
      </c>
      <c r="M403">
        <v>43</v>
      </c>
    </row>
    <row r="404" spans="1:13" x14ac:dyDescent="0.25">
      <c r="A404" t="s">
        <v>120</v>
      </c>
      <c r="B404" t="s">
        <v>121</v>
      </c>
      <c r="C404" t="s">
        <v>137</v>
      </c>
      <c r="D404" t="s">
        <v>138</v>
      </c>
      <c r="E404" t="s">
        <v>139</v>
      </c>
      <c r="F404" t="s">
        <v>29</v>
      </c>
      <c r="G404" t="s">
        <v>30</v>
      </c>
      <c r="H404">
        <v>0</v>
      </c>
      <c r="I404">
        <v>1</v>
      </c>
      <c r="J404" t="s">
        <v>101</v>
      </c>
      <c r="K404" t="s">
        <v>140</v>
      </c>
      <c r="L404" t="s">
        <v>22</v>
      </c>
      <c r="M404">
        <v>43</v>
      </c>
    </row>
    <row r="405" spans="1:13" x14ac:dyDescent="0.25">
      <c r="A405" t="s">
        <v>120</v>
      </c>
      <c r="B405" t="s">
        <v>121</v>
      </c>
      <c r="C405" t="s">
        <v>137</v>
      </c>
      <c r="D405" t="s">
        <v>138</v>
      </c>
      <c r="E405" t="s">
        <v>139</v>
      </c>
      <c r="F405" t="s">
        <v>69</v>
      </c>
      <c r="G405" t="s">
        <v>70</v>
      </c>
      <c r="H405">
        <v>6</v>
      </c>
      <c r="I405">
        <v>0</v>
      </c>
      <c r="J405" t="s">
        <v>101</v>
      </c>
      <c r="K405" t="s">
        <v>140</v>
      </c>
      <c r="L405" t="s">
        <v>22</v>
      </c>
      <c r="M405">
        <v>43</v>
      </c>
    </row>
    <row r="406" spans="1:13" x14ac:dyDescent="0.25">
      <c r="A406" t="s">
        <v>120</v>
      </c>
      <c r="B406" t="s">
        <v>121</v>
      </c>
      <c r="C406" t="s">
        <v>137</v>
      </c>
      <c r="D406" t="s">
        <v>138</v>
      </c>
      <c r="E406" t="s">
        <v>139</v>
      </c>
      <c r="F406" t="s">
        <v>71</v>
      </c>
      <c r="G406" t="s">
        <v>72</v>
      </c>
      <c r="H406">
        <v>0</v>
      </c>
      <c r="I406">
        <v>1</v>
      </c>
      <c r="J406" t="s">
        <v>101</v>
      </c>
      <c r="K406" t="s">
        <v>140</v>
      </c>
      <c r="L406" t="s">
        <v>22</v>
      </c>
      <c r="M406">
        <v>43</v>
      </c>
    </row>
    <row r="407" spans="1:13" x14ac:dyDescent="0.25">
      <c r="A407" t="s">
        <v>120</v>
      </c>
      <c r="B407" t="s">
        <v>121</v>
      </c>
      <c r="C407" t="s">
        <v>137</v>
      </c>
      <c r="D407" t="s">
        <v>138</v>
      </c>
      <c r="E407" t="s">
        <v>139</v>
      </c>
      <c r="F407" t="s">
        <v>31</v>
      </c>
      <c r="G407" t="s">
        <v>32</v>
      </c>
      <c r="H407">
        <v>0</v>
      </c>
      <c r="I407">
        <v>1</v>
      </c>
      <c r="J407" t="s">
        <v>101</v>
      </c>
      <c r="K407" t="s">
        <v>140</v>
      </c>
      <c r="L407" t="s">
        <v>22</v>
      </c>
      <c r="M407">
        <v>43</v>
      </c>
    </row>
    <row r="408" spans="1:13" x14ac:dyDescent="0.25">
      <c r="A408" t="s">
        <v>89</v>
      </c>
      <c r="B408" t="s">
        <v>90</v>
      </c>
      <c r="C408" t="s">
        <v>130</v>
      </c>
      <c r="D408" t="s">
        <v>131</v>
      </c>
      <c r="E408" t="s">
        <v>132</v>
      </c>
      <c r="F408" t="s">
        <v>45</v>
      </c>
      <c r="G408" t="s">
        <v>46</v>
      </c>
      <c r="H408">
        <v>0</v>
      </c>
      <c r="I408">
        <v>1</v>
      </c>
      <c r="J408" t="s">
        <v>101</v>
      </c>
      <c r="K408" t="s">
        <v>133</v>
      </c>
      <c r="L408" t="s">
        <v>22</v>
      </c>
      <c r="M408">
        <v>39</v>
      </c>
    </row>
    <row r="409" spans="1:13" x14ac:dyDescent="0.25">
      <c r="A409" t="s">
        <v>89</v>
      </c>
      <c r="B409" t="s">
        <v>90</v>
      </c>
      <c r="C409" t="s">
        <v>130</v>
      </c>
      <c r="D409" t="s">
        <v>131</v>
      </c>
      <c r="E409" t="s">
        <v>132</v>
      </c>
      <c r="F409" t="s">
        <v>47</v>
      </c>
      <c r="G409" t="s">
        <v>48</v>
      </c>
      <c r="H409">
        <v>5</v>
      </c>
      <c r="I409">
        <v>0</v>
      </c>
      <c r="J409" t="s">
        <v>101</v>
      </c>
      <c r="K409" t="s">
        <v>133</v>
      </c>
      <c r="L409" t="s">
        <v>22</v>
      </c>
      <c r="M409">
        <v>39</v>
      </c>
    </row>
    <row r="410" spans="1:13" x14ac:dyDescent="0.25">
      <c r="A410" t="s">
        <v>89</v>
      </c>
      <c r="B410" t="s">
        <v>90</v>
      </c>
      <c r="C410" t="s">
        <v>130</v>
      </c>
      <c r="D410" t="s">
        <v>131</v>
      </c>
      <c r="E410" t="s">
        <v>132</v>
      </c>
      <c r="F410" t="s">
        <v>51</v>
      </c>
      <c r="G410" t="s">
        <v>52</v>
      </c>
      <c r="H410">
        <v>0</v>
      </c>
      <c r="I410">
        <v>1</v>
      </c>
      <c r="J410" t="s">
        <v>101</v>
      </c>
      <c r="K410" t="s">
        <v>133</v>
      </c>
      <c r="L410" t="s">
        <v>22</v>
      </c>
      <c r="M410">
        <v>39</v>
      </c>
    </row>
    <row r="411" spans="1:13" x14ac:dyDescent="0.25">
      <c r="A411" t="s">
        <v>89</v>
      </c>
      <c r="B411" t="s">
        <v>90</v>
      </c>
      <c r="C411" t="s">
        <v>130</v>
      </c>
      <c r="D411" t="s">
        <v>131</v>
      </c>
      <c r="E411" t="s">
        <v>132</v>
      </c>
      <c r="F411" t="s">
        <v>25</v>
      </c>
      <c r="G411" t="s">
        <v>26</v>
      </c>
      <c r="H411">
        <v>5</v>
      </c>
      <c r="I411">
        <v>0</v>
      </c>
      <c r="J411" t="s">
        <v>101</v>
      </c>
      <c r="K411" t="s">
        <v>133</v>
      </c>
      <c r="L411" t="s">
        <v>22</v>
      </c>
      <c r="M411">
        <v>39</v>
      </c>
    </row>
    <row r="412" spans="1:13" x14ac:dyDescent="0.25">
      <c r="A412" t="s">
        <v>89</v>
      </c>
      <c r="B412" t="s">
        <v>90</v>
      </c>
      <c r="C412" t="s">
        <v>130</v>
      </c>
      <c r="D412" t="s">
        <v>131</v>
      </c>
      <c r="E412" t="s">
        <v>132</v>
      </c>
      <c r="F412" t="s">
        <v>27</v>
      </c>
      <c r="G412" t="s">
        <v>28</v>
      </c>
      <c r="H412">
        <v>5</v>
      </c>
      <c r="I412">
        <v>1</v>
      </c>
      <c r="J412" t="s">
        <v>101</v>
      </c>
      <c r="K412" t="s">
        <v>133</v>
      </c>
      <c r="L412" t="s">
        <v>22</v>
      </c>
      <c r="M412">
        <v>39</v>
      </c>
    </row>
    <row r="413" spans="1:13" x14ac:dyDescent="0.25">
      <c r="A413" t="s">
        <v>89</v>
      </c>
      <c r="B413" t="s">
        <v>90</v>
      </c>
      <c r="C413" t="s">
        <v>130</v>
      </c>
      <c r="D413" t="s">
        <v>131</v>
      </c>
      <c r="E413" t="s">
        <v>132</v>
      </c>
      <c r="F413" t="s">
        <v>65</v>
      </c>
      <c r="G413" t="s">
        <v>66</v>
      </c>
      <c r="H413">
        <v>0</v>
      </c>
      <c r="I413">
        <v>1</v>
      </c>
      <c r="J413" t="s">
        <v>101</v>
      </c>
      <c r="K413" t="s">
        <v>133</v>
      </c>
      <c r="L413" t="s">
        <v>22</v>
      </c>
      <c r="M413">
        <v>39</v>
      </c>
    </row>
    <row r="414" spans="1:13" x14ac:dyDescent="0.25">
      <c r="A414" t="s">
        <v>89</v>
      </c>
      <c r="B414" t="s">
        <v>90</v>
      </c>
      <c r="C414" t="s">
        <v>134</v>
      </c>
      <c r="D414" t="s">
        <v>135</v>
      </c>
      <c r="E414" t="s">
        <v>136</v>
      </c>
      <c r="F414" t="s">
        <v>51</v>
      </c>
      <c r="G414" t="s">
        <v>52</v>
      </c>
      <c r="H414">
        <v>0</v>
      </c>
      <c r="I414">
        <v>1</v>
      </c>
      <c r="J414" t="s">
        <v>20</v>
      </c>
      <c r="K414" t="s">
        <v>133</v>
      </c>
      <c r="L414" t="s">
        <v>22</v>
      </c>
      <c r="M414">
        <v>34</v>
      </c>
    </row>
    <row r="415" spans="1:13" x14ac:dyDescent="0.25">
      <c r="A415" t="s">
        <v>89</v>
      </c>
      <c r="B415" t="s">
        <v>90</v>
      </c>
      <c r="C415" t="s">
        <v>134</v>
      </c>
      <c r="D415" t="s">
        <v>135</v>
      </c>
      <c r="E415" t="s">
        <v>136</v>
      </c>
      <c r="F415" t="s">
        <v>59</v>
      </c>
      <c r="G415" t="s">
        <v>60</v>
      </c>
      <c r="H415">
        <v>0</v>
      </c>
      <c r="I415">
        <v>1</v>
      </c>
      <c r="J415" t="s">
        <v>20</v>
      </c>
      <c r="K415" t="s">
        <v>133</v>
      </c>
      <c r="L415" t="s">
        <v>22</v>
      </c>
      <c r="M415">
        <v>34</v>
      </c>
    </row>
    <row r="416" spans="1:13" x14ac:dyDescent="0.25">
      <c r="A416" t="s">
        <v>89</v>
      </c>
      <c r="B416" t="s">
        <v>90</v>
      </c>
      <c r="C416" t="s">
        <v>134</v>
      </c>
      <c r="D416" t="s">
        <v>135</v>
      </c>
      <c r="E416" t="s">
        <v>136</v>
      </c>
      <c r="F416" t="s">
        <v>65</v>
      </c>
      <c r="G416" t="s">
        <v>66</v>
      </c>
      <c r="H416">
        <v>0</v>
      </c>
      <c r="I416">
        <v>1</v>
      </c>
      <c r="J416" t="s">
        <v>20</v>
      </c>
      <c r="K416" t="s">
        <v>133</v>
      </c>
      <c r="L416" t="s">
        <v>22</v>
      </c>
      <c r="M416">
        <v>34</v>
      </c>
    </row>
    <row r="417" spans="1:13" x14ac:dyDescent="0.25">
      <c r="A417" t="s">
        <v>89</v>
      </c>
      <c r="B417" t="s">
        <v>90</v>
      </c>
      <c r="C417" t="s">
        <v>134</v>
      </c>
      <c r="D417" t="s">
        <v>135</v>
      </c>
      <c r="E417" t="s">
        <v>136</v>
      </c>
      <c r="F417" t="s">
        <v>71</v>
      </c>
      <c r="G417" t="s">
        <v>72</v>
      </c>
      <c r="H417">
        <v>0</v>
      </c>
      <c r="I417">
        <v>1</v>
      </c>
      <c r="J417" t="s">
        <v>20</v>
      </c>
      <c r="K417" t="s">
        <v>133</v>
      </c>
      <c r="L417" t="s">
        <v>22</v>
      </c>
      <c r="M417">
        <v>34</v>
      </c>
    </row>
    <row r="418" spans="1:13" x14ac:dyDescent="0.25">
      <c r="A418" t="s">
        <v>89</v>
      </c>
      <c r="B418" t="s">
        <v>90</v>
      </c>
      <c r="C418" t="s">
        <v>126</v>
      </c>
      <c r="D418" t="s">
        <v>127</v>
      </c>
      <c r="E418" t="s">
        <v>128</v>
      </c>
      <c r="F418" t="s">
        <v>18</v>
      </c>
      <c r="G418" t="s">
        <v>19</v>
      </c>
      <c r="H418">
        <v>0</v>
      </c>
      <c r="I418">
        <v>1</v>
      </c>
      <c r="J418" t="s">
        <v>20</v>
      </c>
      <c r="K418" t="s">
        <v>129</v>
      </c>
      <c r="L418" t="s">
        <v>22</v>
      </c>
      <c r="M418">
        <v>35</v>
      </c>
    </row>
    <row r="419" spans="1:13" x14ac:dyDescent="0.25">
      <c r="A419" t="s">
        <v>89</v>
      </c>
      <c r="B419" t="s">
        <v>90</v>
      </c>
      <c r="C419" t="s">
        <v>126</v>
      </c>
      <c r="D419" t="s">
        <v>127</v>
      </c>
      <c r="E419" t="s">
        <v>128</v>
      </c>
      <c r="F419" t="s">
        <v>79</v>
      </c>
      <c r="G419" t="s">
        <v>80</v>
      </c>
      <c r="H419">
        <v>5</v>
      </c>
      <c r="I419">
        <v>0</v>
      </c>
      <c r="J419" t="s">
        <v>20</v>
      </c>
      <c r="K419" t="s">
        <v>129</v>
      </c>
      <c r="L419" t="s">
        <v>22</v>
      </c>
      <c r="M419">
        <v>35</v>
      </c>
    </row>
    <row r="420" spans="1:13" x14ac:dyDescent="0.25">
      <c r="A420" t="s">
        <v>89</v>
      </c>
      <c r="B420" t="s">
        <v>90</v>
      </c>
      <c r="C420" t="s">
        <v>126</v>
      </c>
      <c r="D420" t="s">
        <v>127</v>
      </c>
      <c r="E420" t="s">
        <v>128</v>
      </c>
      <c r="F420" t="s">
        <v>39</v>
      </c>
      <c r="G420" t="s">
        <v>40</v>
      </c>
      <c r="H420">
        <v>0</v>
      </c>
      <c r="I420">
        <v>1</v>
      </c>
      <c r="J420" t="s">
        <v>20</v>
      </c>
      <c r="K420" t="s">
        <v>129</v>
      </c>
      <c r="L420" t="s">
        <v>22</v>
      </c>
      <c r="M420">
        <v>35</v>
      </c>
    </row>
    <row r="421" spans="1:13" x14ac:dyDescent="0.25">
      <c r="A421" t="s">
        <v>89</v>
      </c>
      <c r="B421" t="s">
        <v>90</v>
      </c>
      <c r="C421" t="s">
        <v>126</v>
      </c>
      <c r="D421" t="s">
        <v>127</v>
      </c>
      <c r="E421" t="s">
        <v>128</v>
      </c>
      <c r="F421" t="s">
        <v>45</v>
      </c>
      <c r="G421" t="s">
        <v>46</v>
      </c>
      <c r="H421">
        <v>0</v>
      </c>
      <c r="I421">
        <v>6</v>
      </c>
      <c r="J421" t="s">
        <v>20</v>
      </c>
      <c r="K421" t="s">
        <v>129</v>
      </c>
      <c r="L421" t="s">
        <v>22</v>
      </c>
      <c r="M421">
        <v>35</v>
      </c>
    </row>
    <row r="422" spans="1:13" x14ac:dyDescent="0.25">
      <c r="A422" t="s">
        <v>89</v>
      </c>
      <c r="B422" t="s">
        <v>90</v>
      </c>
      <c r="C422" t="s">
        <v>126</v>
      </c>
      <c r="D422" t="s">
        <v>127</v>
      </c>
      <c r="E422" t="s">
        <v>128</v>
      </c>
      <c r="F422" t="s">
        <v>23</v>
      </c>
      <c r="G422" t="s">
        <v>24</v>
      </c>
      <c r="H422">
        <v>0</v>
      </c>
      <c r="I422">
        <v>1</v>
      </c>
      <c r="J422" t="s">
        <v>20</v>
      </c>
      <c r="K422" t="s">
        <v>129</v>
      </c>
      <c r="L422" t="s">
        <v>22</v>
      </c>
      <c r="M422">
        <v>35</v>
      </c>
    </row>
    <row r="423" spans="1:13" x14ac:dyDescent="0.25">
      <c r="A423" t="s">
        <v>89</v>
      </c>
      <c r="B423" t="s">
        <v>90</v>
      </c>
      <c r="C423" t="s">
        <v>126</v>
      </c>
      <c r="D423" t="s">
        <v>127</v>
      </c>
      <c r="E423" t="s">
        <v>128</v>
      </c>
      <c r="F423" t="s">
        <v>51</v>
      </c>
      <c r="G423" t="s">
        <v>52</v>
      </c>
      <c r="H423">
        <v>0</v>
      </c>
      <c r="I423">
        <v>5</v>
      </c>
      <c r="J423" t="s">
        <v>20</v>
      </c>
      <c r="K423" t="s">
        <v>129</v>
      </c>
      <c r="L423" t="s">
        <v>22</v>
      </c>
      <c r="M423">
        <v>35</v>
      </c>
    </row>
    <row r="424" spans="1:13" x14ac:dyDescent="0.25">
      <c r="A424" t="s">
        <v>89</v>
      </c>
      <c r="B424" t="s">
        <v>90</v>
      </c>
      <c r="C424" t="s">
        <v>126</v>
      </c>
      <c r="D424" t="s">
        <v>127</v>
      </c>
      <c r="E424" t="s">
        <v>128</v>
      </c>
      <c r="F424" t="s">
        <v>59</v>
      </c>
      <c r="G424" t="s">
        <v>60</v>
      </c>
      <c r="H424">
        <v>0</v>
      </c>
      <c r="I424">
        <v>1</v>
      </c>
      <c r="J424" t="s">
        <v>20</v>
      </c>
      <c r="K424" t="s">
        <v>129</v>
      </c>
      <c r="L424" t="s">
        <v>22</v>
      </c>
      <c r="M424">
        <v>35</v>
      </c>
    </row>
    <row r="425" spans="1:13" x14ac:dyDescent="0.25">
      <c r="A425" t="s">
        <v>89</v>
      </c>
      <c r="B425" t="s">
        <v>90</v>
      </c>
      <c r="C425" t="s">
        <v>126</v>
      </c>
      <c r="D425" t="s">
        <v>127</v>
      </c>
      <c r="E425" t="s">
        <v>128</v>
      </c>
      <c r="F425" t="s">
        <v>61</v>
      </c>
      <c r="G425" t="s">
        <v>62</v>
      </c>
      <c r="H425">
        <v>0</v>
      </c>
      <c r="I425">
        <v>1</v>
      </c>
      <c r="J425" t="s">
        <v>20</v>
      </c>
      <c r="K425" t="s">
        <v>129</v>
      </c>
      <c r="L425" t="s">
        <v>22</v>
      </c>
      <c r="M425">
        <v>35</v>
      </c>
    </row>
    <row r="426" spans="1:13" x14ac:dyDescent="0.25">
      <c r="A426" t="s">
        <v>89</v>
      </c>
      <c r="B426" t="s">
        <v>90</v>
      </c>
      <c r="C426" t="s">
        <v>126</v>
      </c>
      <c r="D426" t="s">
        <v>127</v>
      </c>
      <c r="E426" t="s">
        <v>128</v>
      </c>
      <c r="F426" t="s">
        <v>25</v>
      </c>
      <c r="G426" t="s">
        <v>26</v>
      </c>
      <c r="H426">
        <v>0</v>
      </c>
      <c r="I426">
        <v>1</v>
      </c>
      <c r="J426" t="s">
        <v>20</v>
      </c>
      <c r="K426" t="s">
        <v>129</v>
      </c>
      <c r="L426" t="s">
        <v>22</v>
      </c>
      <c r="M426">
        <v>35</v>
      </c>
    </row>
    <row r="427" spans="1:13" x14ac:dyDescent="0.25">
      <c r="A427" t="s">
        <v>89</v>
      </c>
      <c r="B427" t="s">
        <v>90</v>
      </c>
      <c r="C427" t="s">
        <v>126</v>
      </c>
      <c r="D427" t="s">
        <v>127</v>
      </c>
      <c r="E427" t="s">
        <v>128</v>
      </c>
      <c r="F427" t="s">
        <v>27</v>
      </c>
      <c r="G427" t="s">
        <v>28</v>
      </c>
      <c r="H427">
        <v>0</v>
      </c>
      <c r="I427">
        <v>2</v>
      </c>
      <c r="J427" t="s">
        <v>20</v>
      </c>
      <c r="K427" t="s">
        <v>129</v>
      </c>
      <c r="L427" t="s">
        <v>22</v>
      </c>
      <c r="M427">
        <v>35</v>
      </c>
    </row>
    <row r="428" spans="1:13" x14ac:dyDescent="0.25">
      <c r="A428" t="s">
        <v>89</v>
      </c>
      <c r="B428" t="s">
        <v>90</v>
      </c>
      <c r="C428" t="s">
        <v>126</v>
      </c>
      <c r="D428" t="s">
        <v>127</v>
      </c>
      <c r="E428" t="s">
        <v>128</v>
      </c>
      <c r="F428" t="s">
        <v>65</v>
      </c>
      <c r="G428" t="s">
        <v>66</v>
      </c>
      <c r="H428">
        <v>0</v>
      </c>
      <c r="I428">
        <v>6</v>
      </c>
      <c r="J428" t="s">
        <v>20</v>
      </c>
      <c r="K428" t="s">
        <v>129</v>
      </c>
      <c r="L428" t="s">
        <v>22</v>
      </c>
      <c r="M428">
        <v>35</v>
      </c>
    </row>
    <row r="429" spans="1:13" x14ac:dyDescent="0.25">
      <c r="A429" t="s">
        <v>89</v>
      </c>
      <c r="B429" t="s">
        <v>90</v>
      </c>
      <c r="C429" t="s">
        <v>126</v>
      </c>
      <c r="D429" t="s">
        <v>127</v>
      </c>
      <c r="E429" t="s">
        <v>128</v>
      </c>
      <c r="F429" t="s">
        <v>67</v>
      </c>
      <c r="G429" t="s">
        <v>68</v>
      </c>
      <c r="H429">
        <v>0</v>
      </c>
      <c r="I429">
        <v>2</v>
      </c>
      <c r="J429" t="s">
        <v>20</v>
      </c>
      <c r="K429" t="s">
        <v>129</v>
      </c>
      <c r="L429" t="s">
        <v>22</v>
      </c>
      <c r="M429">
        <v>35</v>
      </c>
    </row>
    <row r="430" spans="1:13" x14ac:dyDescent="0.25">
      <c r="A430" t="s">
        <v>89</v>
      </c>
      <c r="B430" t="s">
        <v>90</v>
      </c>
      <c r="C430" t="s">
        <v>126</v>
      </c>
      <c r="D430" t="s">
        <v>127</v>
      </c>
      <c r="E430" t="s">
        <v>128</v>
      </c>
      <c r="F430" t="s">
        <v>29</v>
      </c>
      <c r="G430" t="s">
        <v>30</v>
      </c>
      <c r="H430">
        <v>0</v>
      </c>
      <c r="I430">
        <v>1</v>
      </c>
      <c r="J430" t="s">
        <v>20</v>
      </c>
      <c r="K430" t="s">
        <v>129</v>
      </c>
      <c r="L430" t="s">
        <v>22</v>
      </c>
      <c r="M430">
        <v>35</v>
      </c>
    </row>
    <row r="431" spans="1:13" x14ac:dyDescent="0.25">
      <c r="A431" t="s">
        <v>89</v>
      </c>
      <c r="B431" t="s">
        <v>90</v>
      </c>
      <c r="C431" t="s">
        <v>126</v>
      </c>
      <c r="D431" t="s">
        <v>127</v>
      </c>
      <c r="E431" t="s">
        <v>128</v>
      </c>
      <c r="F431" t="s">
        <v>71</v>
      </c>
      <c r="G431" t="s">
        <v>72</v>
      </c>
      <c r="H431">
        <v>0</v>
      </c>
      <c r="I431">
        <v>2</v>
      </c>
      <c r="J431" t="s">
        <v>20</v>
      </c>
      <c r="K431" t="s">
        <v>129</v>
      </c>
      <c r="L431" t="s">
        <v>22</v>
      </c>
      <c r="M431">
        <v>35</v>
      </c>
    </row>
    <row r="432" spans="1:13" x14ac:dyDescent="0.25">
      <c r="A432" t="s">
        <v>120</v>
      </c>
      <c r="B432" t="s">
        <v>121</v>
      </c>
      <c r="C432" t="s">
        <v>122</v>
      </c>
      <c r="D432" t="s">
        <v>123</v>
      </c>
      <c r="E432" t="s">
        <v>124</v>
      </c>
      <c r="F432" t="s">
        <v>45</v>
      </c>
      <c r="G432" t="s">
        <v>46</v>
      </c>
      <c r="H432">
        <v>0</v>
      </c>
      <c r="I432">
        <v>4</v>
      </c>
      <c r="J432" t="s">
        <v>20</v>
      </c>
      <c r="K432" t="s">
        <v>125</v>
      </c>
      <c r="L432" t="s">
        <v>22</v>
      </c>
      <c r="M432">
        <v>50</v>
      </c>
    </row>
    <row r="433" spans="1:13" x14ac:dyDescent="0.25">
      <c r="A433" t="s">
        <v>120</v>
      </c>
      <c r="B433" t="s">
        <v>121</v>
      </c>
      <c r="C433" t="s">
        <v>122</v>
      </c>
      <c r="D433" t="s">
        <v>123</v>
      </c>
      <c r="E433" t="s">
        <v>124</v>
      </c>
      <c r="F433" t="s">
        <v>51</v>
      </c>
      <c r="G433" t="s">
        <v>52</v>
      </c>
      <c r="H433">
        <v>0</v>
      </c>
      <c r="I433">
        <v>7</v>
      </c>
      <c r="J433" t="s">
        <v>20</v>
      </c>
      <c r="K433" t="s">
        <v>125</v>
      </c>
      <c r="L433" t="s">
        <v>22</v>
      </c>
      <c r="M433">
        <v>50</v>
      </c>
    </row>
    <row r="434" spans="1:13" x14ac:dyDescent="0.25">
      <c r="A434" t="s">
        <v>120</v>
      </c>
      <c r="B434" t="s">
        <v>121</v>
      </c>
      <c r="C434" t="s">
        <v>122</v>
      </c>
      <c r="D434" t="s">
        <v>123</v>
      </c>
      <c r="E434" t="s">
        <v>124</v>
      </c>
      <c r="F434" t="s">
        <v>61</v>
      </c>
      <c r="G434" t="s">
        <v>62</v>
      </c>
      <c r="H434">
        <v>5</v>
      </c>
      <c r="I434">
        <v>1</v>
      </c>
      <c r="J434" t="s">
        <v>20</v>
      </c>
      <c r="K434" t="s">
        <v>125</v>
      </c>
      <c r="L434" t="s">
        <v>22</v>
      </c>
      <c r="M434">
        <v>50</v>
      </c>
    </row>
    <row r="435" spans="1:13" x14ac:dyDescent="0.25">
      <c r="A435" t="s">
        <v>89</v>
      </c>
      <c r="B435" t="s">
        <v>90</v>
      </c>
      <c r="C435" t="s">
        <v>116</v>
      </c>
      <c r="D435" t="s">
        <v>117</v>
      </c>
      <c r="E435" t="s">
        <v>118</v>
      </c>
      <c r="F435" t="s">
        <v>79</v>
      </c>
      <c r="G435" t="s">
        <v>80</v>
      </c>
      <c r="H435">
        <v>5</v>
      </c>
      <c r="I435">
        <v>0</v>
      </c>
      <c r="J435" t="s">
        <v>101</v>
      </c>
      <c r="K435" t="s">
        <v>119</v>
      </c>
      <c r="L435" t="s">
        <v>22</v>
      </c>
      <c r="M435">
        <v>40</v>
      </c>
    </row>
    <row r="436" spans="1:13" x14ac:dyDescent="0.25">
      <c r="A436" t="s">
        <v>89</v>
      </c>
      <c r="B436" t="s">
        <v>90</v>
      </c>
      <c r="C436" t="s">
        <v>116</v>
      </c>
      <c r="D436" t="s">
        <v>117</v>
      </c>
      <c r="E436" t="s">
        <v>118</v>
      </c>
      <c r="F436" t="s">
        <v>43</v>
      </c>
      <c r="G436" t="s">
        <v>44</v>
      </c>
      <c r="H436">
        <v>5</v>
      </c>
      <c r="I436">
        <v>0</v>
      </c>
      <c r="J436" t="s">
        <v>101</v>
      </c>
      <c r="K436" t="s">
        <v>119</v>
      </c>
      <c r="L436" t="s">
        <v>22</v>
      </c>
      <c r="M436">
        <v>40</v>
      </c>
    </row>
    <row r="437" spans="1:13" x14ac:dyDescent="0.25">
      <c r="A437" t="s">
        <v>89</v>
      </c>
      <c r="B437" t="s">
        <v>90</v>
      </c>
      <c r="C437" t="s">
        <v>116</v>
      </c>
      <c r="D437" t="s">
        <v>117</v>
      </c>
      <c r="E437" t="s">
        <v>118</v>
      </c>
      <c r="F437" t="s">
        <v>45</v>
      </c>
      <c r="G437" t="s">
        <v>46</v>
      </c>
      <c r="H437">
        <v>0</v>
      </c>
      <c r="I437">
        <v>2</v>
      </c>
      <c r="J437" t="s">
        <v>101</v>
      </c>
      <c r="K437" t="s">
        <v>119</v>
      </c>
      <c r="L437" t="s">
        <v>22</v>
      </c>
      <c r="M437">
        <v>40</v>
      </c>
    </row>
    <row r="438" spans="1:13" x14ac:dyDescent="0.25">
      <c r="A438" t="s">
        <v>89</v>
      </c>
      <c r="B438" t="s">
        <v>90</v>
      </c>
      <c r="C438" t="s">
        <v>116</v>
      </c>
      <c r="D438" t="s">
        <v>117</v>
      </c>
      <c r="E438" t="s">
        <v>118</v>
      </c>
      <c r="F438" t="s">
        <v>49</v>
      </c>
      <c r="G438" t="s">
        <v>50</v>
      </c>
      <c r="H438">
        <v>5</v>
      </c>
      <c r="I438">
        <v>0</v>
      </c>
      <c r="J438" t="s">
        <v>101</v>
      </c>
      <c r="K438" t="s">
        <v>119</v>
      </c>
      <c r="L438" t="s">
        <v>22</v>
      </c>
      <c r="M438">
        <v>40</v>
      </c>
    </row>
    <row r="439" spans="1:13" x14ac:dyDescent="0.25">
      <c r="A439" t="s">
        <v>89</v>
      </c>
      <c r="B439" t="s">
        <v>90</v>
      </c>
      <c r="C439" t="s">
        <v>116</v>
      </c>
      <c r="D439" t="s">
        <v>117</v>
      </c>
      <c r="E439" t="s">
        <v>118</v>
      </c>
      <c r="F439" t="s">
        <v>23</v>
      </c>
      <c r="G439" t="s">
        <v>24</v>
      </c>
      <c r="H439">
        <v>5</v>
      </c>
      <c r="I439">
        <v>0</v>
      </c>
      <c r="J439" t="s">
        <v>101</v>
      </c>
      <c r="K439" t="s">
        <v>119</v>
      </c>
      <c r="L439" t="s">
        <v>22</v>
      </c>
      <c r="M439">
        <v>40</v>
      </c>
    </row>
    <row r="440" spans="1:13" x14ac:dyDescent="0.25">
      <c r="A440" t="s">
        <v>89</v>
      </c>
      <c r="B440" t="s">
        <v>90</v>
      </c>
      <c r="C440" t="s">
        <v>116</v>
      </c>
      <c r="D440" t="s">
        <v>117</v>
      </c>
      <c r="E440" t="s">
        <v>118</v>
      </c>
      <c r="F440" t="s">
        <v>51</v>
      </c>
      <c r="G440" t="s">
        <v>52</v>
      </c>
      <c r="H440">
        <v>0</v>
      </c>
      <c r="I440">
        <v>4</v>
      </c>
      <c r="J440" t="s">
        <v>101</v>
      </c>
      <c r="K440" t="s">
        <v>119</v>
      </c>
      <c r="L440" t="s">
        <v>22</v>
      </c>
      <c r="M440">
        <v>40</v>
      </c>
    </row>
    <row r="441" spans="1:13" x14ac:dyDescent="0.25">
      <c r="A441" t="s">
        <v>89</v>
      </c>
      <c r="B441" t="s">
        <v>90</v>
      </c>
      <c r="C441" t="s">
        <v>116</v>
      </c>
      <c r="D441" t="s">
        <v>117</v>
      </c>
      <c r="E441" t="s">
        <v>118</v>
      </c>
      <c r="F441" t="s">
        <v>55</v>
      </c>
      <c r="G441" t="s">
        <v>56</v>
      </c>
      <c r="H441">
        <v>5</v>
      </c>
      <c r="I441">
        <v>0</v>
      </c>
      <c r="J441" t="s">
        <v>101</v>
      </c>
      <c r="K441" t="s">
        <v>119</v>
      </c>
      <c r="L441" t="s">
        <v>22</v>
      </c>
      <c r="M441">
        <v>40</v>
      </c>
    </row>
    <row r="442" spans="1:13" x14ac:dyDescent="0.25">
      <c r="A442" t="s">
        <v>89</v>
      </c>
      <c r="B442" t="s">
        <v>90</v>
      </c>
      <c r="C442" t="s">
        <v>116</v>
      </c>
      <c r="D442" t="s">
        <v>117</v>
      </c>
      <c r="E442" t="s">
        <v>118</v>
      </c>
      <c r="F442" t="s">
        <v>59</v>
      </c>
      <c r="G442" t="s">
        <v>60</v>
      </c>
      <c r="H442">
        <v>0</v>
      </c>
      <c r="I442">
        <v>2</v>
      </c>
      <c r="J442" t="s">
        <v>101</v>
      </c>
      <c r="K442" t="s">
        <v>119</v>
      </c>
      <c r="L442" t="s">
        <v>22</v>
      </c>
      <c r="M442">
        <v>40</v>
      </c>
    </row>
    <row r="443" spans="1:13" x14ac:dyDescent="0.25">
      <c r="A443" t="s">
        <v>89</v>
      </c>
      <c r="B443" t="s">
        <v>90</v>
      </c>
      <c r="C443" t="s">
        <v>116</v>
      </c>
      <c r="D443" t="s">
        <v>117</v>
      </c>
      <c r="E443" t="s">
        <v>118</v>
      </c>
      <c r="F443" t="s">
        <v>63</v>
      </c>
      <c r="G443" t="s">
        <v>64</v>
      </c>
      <c r="H443">
        <v>2</v>
      </c>
      <c r="I443">
        <v>0</v>
      </c>
      <c r="J443" t="s">
        <v>101</v>
      </c>
      <c r="K443" t="s">
        <v>119</v>
      </c>
      <c r="L443" t="s">
        <v>22</v>
      </c>
      <c r="M443">
        <v>40</v>
      </c>
    </row>
    <row r="444" spans="1:13" x14ac:dyDescent="0.25">
      <c r="A444" t="s">
        <v>89</v>
      </c>
      <c r="B444" t="s">
        <v>90</v>
      </c>
      <c r="C444" t="s">
        <v>116</v>
      </c>
      <c r="D444" t="s">
        <v>117</v>
      </c>
      <c r="E444" t="s">
        <v>118</v>
      </c>
      <c r="F444" t="s">
        <v>65</v>
      </c>
      <c r="G444" t="s">
        <v>66</v>
      </c>
      <c r="H444">
        <v>0</v>
      </c>
      <c r="I444">
        <v>7</v>
      </c>
      <c r="J444" t="s">
        <v>101</v>
      </c>
      <c r="K444" t="s">
        <v>119</v>
      </c>
      <c r="L444" t="s">
        <v>22</v>
      </c>
      <c r="M444">
        <v>40</v>
      </c>
    </row>
    <row r="445" spans="1:13" x14ac:dyDescent="0.25">
      <c r="A445" t="s">
        <v>89</v>
      </c>
      <c r="B445" t="s">
        <v>90</v>
      </c>
      <c r="C445" t="s">
        <v>116</v>
      </c>
      <c r="D445" t="s">
        <v>117</v>
      </c>
      <c r="E445" t="s">
        <v>118</v>
      </c>
      <c r="F445" t="s">
        <v>67</v>
      </c>
      <c r="G445" t="s">
        <v>68</v>
      </c>
      <c r="H445">
        <v>6</v>
      </c>
      <c r="I445">
        <v>0</v>
      </c>
      <c r="J445" t="s">
        <v>101</v>
      </c>
      <c r="K445" t="s">
        <v>119</v>
      </c>
      <c r="L445" t="s">
        <v>22</v>
      </c>
      <c r="M445">
        <v>40</v>
      </c>
    </row>
    <row r="446" spans="1:13" x14ac:dyDescent="0.25">
      <c r="A446" t="s">
        <v>89</v>
      </c>
      <c r="B446" t="s">
        <v>90</v>
      </c>
      <c r="C446" t="s">
        <v>116</v>
      </c>
      <c r="D446" t="s">
        <v>117</v>
      </c>
      <c r="E446" t="s">
        <v>118</v>
      </c>
      <c r="F446" t="s">
        <v>29</v>
      </c>
      <c r="G446" t="s">
        <v>30</v>
      </c>
      <c r="H446">
        <v>5</v>
      </c>
      <c r="I446">
        <v>0</v>
      </c>
      <c r="J446" t="s">
        <v>101</v>
      </c>
      <c r="K446" t="s">
        <v>119</v>
      </c>
      <c r="L446" t="s">
        <v>22</v>
      </c>
      <c r="M446">
        <v>40</v>
      </c>
    </row>
    <row r="447" spans="1:13" x14ac:dyDescent="0.25">
      <c r="A447" t="s">
        <v>89</v>
      </c>
      <c r="B447" t="s">
        <v>90</v>
      </c>
      <c r="C447" t="s">
        <v>116</v>
      </c>
      <c r="D447" t="s">
        <v>117</v>
      </c>
      <c r="E447" t="s">
        <v>118</v>
      </c>
      <c r="F447" t="s">
        <v>69</v>
      </c>
      <c r="G447" t="s">
        <v>70</v>
      </c>
      <c r="H447">
        <v>2</v>
      </c>
      <c r="I447">
        <v>0</v>
      </c>
      <c r="J447" t="s">
        <v>101</v>
      </c>
      <c r="K447" t="s">
        <v>119</v>
      </c>
      <c r="L447" t="s">
        <v>22</v>
      </c>
      <c r="M447">
        <v>40</v>
      </c>
    </row>
    <row r="448" spans="1:13" x14ac:dyDescent="0.25">
      <c r="A448" t="s">
        <v>89</v>
      </c>
      <c r="B448" t="s">
        <v>90</v>
      </c>
      <c r="C448" t="s">
        <v>116</v>
      </c>
      <c r="D448" t="s">
        <v>117</v>
      </c>
      <c r="E448" t="s">
        <v>118</v>
      </c>
      <c r="F448" t="s">
        <v>71</v>
      </c>
      <c r="G448" t="s">
        <v>72</v>
      </c>
      <c r="H448">
        <v>0</v>
      </c>
      <c r="I448">
        <v>1</v>
      </c>
      <c r="J448" t="s">
        <v>101</v>
      </c>
      <c r="K448" t="s">
        <v>119</v>
      </c>
      <c r="L448" t="s">
        <v>22</v>
      </c>
      <c r="M448">
        <v>40</v>
      </c>
    </row>
    <row r="449" spans="1:13" x14ac:dyDescent="0.25">
      <c r="A449" t="s">
        <v>103</v>
      </c>
      <c r="B449" t="s">
        <v>104</v>
      </c>
      <c r="C449" t="s">
        <v>112</v>
      </c>
      <c r="D449" t="s">
        <v>113</v>
      </c>
      <c r="E449" t="s">
        <v>114</v>
      </c>
      <c r="F449" t="s">
        <v>79</v>
      </c>
      <c r="G449" t="s">
        <v>80</v>
      </c>
      <c r="H449">
        <v>0</v>
      </c>
      <c r="I449">
        <v>4</v>
      </c>
      <c r="J449" t="s">
        <v>101</v>
      </c>
      <c r="K449" t="s">
        <v>115</v>
      </c>
      <c r="L449" t="s">
        <v>22</v>
      </c>
      <c r="M449">
        <v>30</v>
      </c>
    </row>
    <row r="450" spans="1:13" x14ac:dyDescent="0.25">
      <c r="A450" t="s">
        <v>103</v>
      </c>
      <c r="B450" t="s">
        <v>104</v>
      </c>
      <c r="C450" t="s">
        <v>112</v>
      </c>
      <c r="D450" t="s">
        <v>113</v>
      </c>
      <c r="E450" t="s">
        <v>114</v>
      </c>
      <c r="F450" t="s">
        <v>51</v>
      </c>
      <c r="G450" t="s">
        <v>52</v>
      </c>
      <c r="H450">
        <v>0</v>
      </c>
      <c r="I450">
        <v>10</v>
      </c>
      <c r="J450" t="s">
        <v>101</v>
      </c>
      <c r="K450" t="s">
        <v>115</v>
      </c>
      <c r="L450" t="s">
        <v>22</v>
      </c>
      <c r="M450">
        <v>30</v>
      </c>
    </row>
    <row r="451" spans="1:13" x14ac:dyDescent="0.25">
      <c r="A451" t="s">
        <v>103</v>
      </c>
      <c r="B451" t="s">
        <v>104</v>
      </c>
      <c r="C451" t="s">
        <v>112</v>
      </c>
      <c r="D451" t="s">
        <v>113</v>
      </c>
      <c r="E451" t="s">
        <v>114</v>
      </c>
      <c r="F451" t="s">
        <v>59</v>
      </c>
      <c r="G451" t="s">
        <v>60</v>
      </c>
      <c r="H451">
        <v>0</v>
      </c>
      <c r="I451">
        <v>5</v>
      </c>
      <c r="J451" t="s">
        <v>101</v>
      </c>
      <c r="K451" t="s">
        <v>115</v>
      </c>
      <c r="L451" t="s">
        <v>22</v>
      </c>
      <c r="M451">
        <v>30</v>
      </c>
    </row>
    <row r="452" spans="1:13" x14ac:dyDescent="0.25">
      <c r="A452" t="s">
        <v>103</v>
      </c>
      <c r="B452" t="s">
        <v>104</v>
      </c>
      <c r="C452" t="s">
        <v>112</v>
      </c>
      <c r="D452" t="s">
        <v>113</v>
      </c>
      <c r="E452" t="s">
        <v>114</v>
      </c>
      <c r="F452" t="s">
        <v>29</v>
      </c>
      <c r="G452" t="s">
        <v>30</v>
      </c>
      <c r="H452">
        <v>0</v>
      </c>
      <c r="I452">
        <v>1</v>
      </c>
      <c r="J452" t="s">
        <v>101</v>
      </c>
      <c r="K452" t="s">
        <v>115</v>
      </c>
      <c r="L452" t="s">
        <v>22</v>
      </c>
      <c r="M452">
        <v>30</v>
      </c>
    </row>
    <row r="453" spans="1:13" x14ac:dyDescent="0.25">
      <c r="A453" t="s">
        <v>103</v>
      </c>
      <c r="B453" t="s">
        <v>104</v>
      </c>
      <c r="C453" t="s">
        <v>105</v>
      </c>
      <c r="D453" t="s">
        <v>106</v>
      </c>
      <c r="E453" t="s">
        <v>107</v>
      </c>
      <c r="F453" t="s">
        <v>39</v>
      </c>
      <c r="G453" t="s">
        <v>40</v>
      </c>
      <c r="H453">
        <v>5</v>
      </c>
      <c r="I453">
        <v>0</v>
      </c>
      <c r="J453" t="s">
        <v>94</v>
      </c>
      <c r="K453" t="s">
        <v>108</v>
      </c>
      <c r="L453" t="s">
        <v>22</v>
      </c>
      <c r="M453">
        <v>28</v>
      </c>
    </row>
    <row r="454" spans="1:13" x14ac:dyDescent="0.25">
      <c r="A454" t="s">
        <v>103</v>
      </c>
      <c r="B454" t="s">
        <v>104</v>
      </c>
      <c r="C454" t="s">
        <v>105</v>
      </c>
      <c r="D454" t="s">
        <v>106</v>
      </c>
      <c r="E454" t="s">
        <v>107</v>
      </c>
      <c r="F454" t="s">
        <v>61</v>
      </c>
      <c r="G454" t="s">
        <v>62</v>
      </c>
      <c r="H454">
        <v>5</v>
      </c>
      <c r="I454">
        <v>0</v>
      </c>
      <c r="J454" t="s">
        <v>94</v>
      </c>
      <c r="K454" t="s">
        <v>108</v>
      </c>
      <c r="L454" t="s">
        <v>22</v>
      </c>
      <c r="M454">
        <v>28</v>
      </c>
    </row>
    <row r="455" spans="1:13" x14ac:dyDescent="0.25">
      <c r="A455" t="s">
        <v>103</v>
      </c>
      <c r="B455" t="s">
        <v>104</v>
      </c>
      <c r="C455" t="s">
        <v>105</v>
      </c>
      <c r="D455" t="s">
        <v>106</v>
      </c>
      <c r="E455" t="s">
        <v>107</v>
      </c>
      <c r="F455" t="s">
        <v>63</v>
      </c>
      <c r="G455" t="s">
        <v>64</v>
      </c>
      <c r="H455">
        <v>4</v>
      </c>
      <c r="I455">
        <v>0</v>
      </c>
      <c r="J455" t="s">
        <v>94</v>
      </c>
      <c r="K455" t="s">
        <v>108</v>
      </c>
      <c r="L455" t="s">
        <v>22</v>
      </c>
      <c r="M455">
        <v>28</v>
      </c>
    </row>
    <row r="456" spans="1:13" x14ac:dyDescent="0.25">
      <c r="A456" t="s">
        <v>89</v>
      </c>
      <c r="B456" t="s">
        <v>90</v>
      </c>
      <c r="C456" t="s">
        <v>109</v>
      </c>
      <c r="D456" t="s">
        <v>110</v>
      </c>
      <c r="E456" t="s">
        <v>111</v>
      </c>
      <c r="F456" t="s">
        <v>45</v>
      </c>
      <c r="G456" t="s">
        <v>46</v>
      </c>
      <c r="H456">
        <v>0</v>
      </c>
      <c r="I456">
        <v>3</v>
      </c>
      <c r="J456" t="s">
        <v>94</v>
      </c>
      <c r="K456" t="s">
        <v>108</v>
      </c>
      <c r="L456" t="s">
        <v>22</v>
      </c>
      <c r="M456">
        <v>37</v>
      </c>
    </row>
    <row r="457" spans="1:13" x14ac:dyDescent="0.25">
      <c r="A457" t="s">
        <v>89</v>
      </c>
      <c r="B457" t="s">
        <v>90</v>
      </c>
      <c r="C457" t="s">
        <v>109</v>
      </c>
      <c r="D457" t="s">
        <v>110</v>
      </c>
      <c r="E457" t="s">
        <v>111</v>
      </c>
      <c r="F457" t="s">
        <v>47</v>
      </c>
      <c r="G457" t="s">
        <v>48</v>
      </c>
      <c r="H457">
        <v>0</v>
      </c>
      <c r="I457">
        <v>1</v>
      </c>
      <c r="J457" t="s">
        <v>94</v>
      </c>
      <c r="K457" t="s">
        <v>108</v>
      </c>
      <c r="L457" t="s">
        <v>22</v>
      </c>
      <c r="M457">
        <v>37</v>
      </c>
    </row>
    <row r="458" spans="1:13" x14ac:dyDescent="0.25">
      <c r="A458" t="s">
        <v>89</v>
      </c>
      <c r="B458" t="s">
        <v>90</v>
      </c>
      <c r="C458" t="s">
        <v>109</v>
      </c>
      <c r="D458" t="s">
        <v>110</v>
      </c>
      <c r="E458" t="s">
        <v>111</v>
      </c>
      <c r="F458" t="s">
        <v>51</v>
      </c>
      <c r="G458" t="s">
        <v>52</v>
      </c>
      <c r="H458">
        <v>0</v>
      </c>
      <c r="I458">
        <v>3</v>
      </c>
      <c r="J458" t="s">
        <v>94</v>
      </c>
      <c r="K458" t="s">
        <v>108</v>
      </c>
      <c r="L458" t="s">
        <v>22</v>
      </c>
      <c r="M458">
        <v>37</v>
      </c>
    </row>
    <row r="459" spans="1:13" x14ac:dyDescent="0.25">
      <c r="A459" t="s">
        <v>89</v>
      </c>
      <c r="B459" t="s">
        <v>90</v>
      </c>
      <c r="C459" t="s">
        <v>109</v>
      </c>
      <c r="D459" t="s">
        <v>110</v>
      </c>
      <c r="E459" t="s">
        <v>111</v>
      </c>
      <c r="F459" t="s">
        <v>55</v>
      </c>
      <c r="G459" t="s">
        <v>56</v>
      </c>
      <c r="H459">
        <v>0</v>
      </c>
      <c r="I459">
        <v>1</v>
      </c>
      <c r="J459" t="s">
        <v>94</v>
      </c>
      <c r="K459" t="s">
        <v>108</v>
      </c>
      <c r="L459" t="s">
        <v>22</v>
      </c>
      <c r="M459">
        <v>37</v>
      </c>
    </row>
    <row r="460" spans="1:13" x14ac:dyDescent="0.25">
      <c r="A460" t="s">
        <v>89</v>
      </c>
      <c r="B460" t="s">
        <v>90</v>
      </c>
      <c r="C460" t="s">
        <v>109</v>
      </c>
      <c r="D460" t="s">
        <v>110</v>
      </c>
      <c r="E460" t="s">
        <v>111</v>
      </c>
      <c r="F460" t="s">
        <v>25</v>
      </c>
      <c r="G460" t="s">
        <v>26</v>
      </c>
      <c r="H460">
        <v>5</v>
      </c>
      <c r="I460">
        <v>1</v>
      </c>
      <c r="J460" t="s">
        <v>94</v>
      </c>
      <c r="K460" t="s">
        <v>108</v>
      </c>
      <c r="L460" t="s">
        <v>22</v>
      </c>
      <c r="M460">
        <v>37</v>
      </c>
    </row>
    <row r="461" spans="1:13" x14ac:dyDescent="0.25">
      <c r="A461" t="s">
        <v>89</v>
      </c>
      <c r="B461" t="s">
        <v>90</v>
      </c>
      <c r="C461" t="s">
        <v>109</v>
      </c>
      <c r="D461" t="s">
        <v>110</v>
      </c>
      <c r="E461" t="s">
        <v>111</v>
      </c>
      <c r="F461" t="s">
        <v>65</v>
      </c>
      <c r="G461" t="s">
        <v>66</v>
      </c>
      <c r="H461">
        <v>0</v>
      </c>
      <c r="I461">
        <v>4</v>
      </c>
      <c r="J461" t="s">
        <v>94</v>
      </c>
      <c r="K461" t="s">
        <v>108</v>
      </c>
      <c r="L461" t="s">
        <v>22</v>
      </c>
      <c r="M461">
        <v>37</v>
      </c>
    </row>
    <row r="462" spans="1:13" x14ac:dyDescent="0.25">
      <c r="A462" t="s">
        <v>89</v>
      </c>
      <c r="B462" t="s">
        <v>90</v>
      </c>
      <c r="C462" t="s">
        <v>109</v>
      </c>
      <c r="D462" t="s">
        <v>110</v>
      </c>
      <c r="E462" t="s">
        <v>111</v>
      </c>
      <c r="F462" t="s">
        <v>31</v>
      </c>
      <c r="G462" t="s">
        <v>32</v>
      </c>
      <c r="H462">
        <v>5</v>
      </c>
      <c r="I462">
        <v>0</v>
      </c>
      <c r="J462" t="s">
        <v>94</v>
      </c>
      <c r="K462" t="s">
        <v>108</v>
      </c>
      <c r="L462" t="s">
        <v>22</v>
      </c>
      <c r="M462">
        <v>37</v>
      </c>
    </row>
    <row r="463" spans="1:13" x14ac:dyDescent="0.25">
      <c r="A463" t="s">
        <v>96</v>
      </c>
      <c r="B463" t="s">
        <v>97</v>
      </c>
      <c r="C463" t="s">
        <v>98</v>
      </c>
      <c r="D463" t="s">
        <v>99</v>
      </c>
      <c r="E463" t="s">
        <v>100</v>
      </c>
      <c r="F463" t="s">
        <v>18</v>
      </c>
      <c r="G463" t="s">
        <v>19</v>
      </c>
      <c r="H463">
        <v>0</v>
      </c>
      <c r="I463">
        <v>1</v>
      </c>
      <c r="J463" t="s">
        <v>101</v>
      </c>
      <c r="K463" t="s">
        <v>102</v>
      </c>
      <c r="L463" t="s">
        <v>22</v>
      </c>
      <c r="M463">
        <v>33</v>
      </c>
    </row>
    <row r="464" spans="1:13" x14ac:dyDescent="0.25">
      <c r="A464" t="s">
        <v>96</v>
      </c>
      <c r="B464" t="s">
        <v>97</v>
      </c>
      <c r="C464" t="s">
        <v>98</v>
      </c>
      <c r="D464" t="s">
        <v>99</v>
      </c>
      <c r="E464" t="s">
        <v>100</v>
      </c>
      <c r="F464" t="s">
        <v>39</v>
      </c>
      <c r="G464" t="s">
        <v>40</v>
      </c>
      <c r="H464">
        <v>0</v>
      </c>
      <c r="I464">
        <v>1</v>
      </c>
      <c r="J464" t="s">
        <v>101</v>
      </c>
      <c r="K464" t="s">
        <v>102</v>
      </c>
      <c r="L464" t="s">
        <v>22</v>
      </c>
      <c r="M464">
        <v>33</v>
      </c>
    </row>
    <row r="465" spans="1:13" x14ac:dyDescent="0.25">
      <c r="A465" t="s">
        <v>96</v>
      </c>
      <c r="B465" t="s">
        <v>97</v>
      </c>
      <c r="C465" t="s">
        <v>98</v>
      </c>
      <c r="D465" t="s">
        <v>99</v>
      </c>
      <c r="E465" t="s">
        <v>100</v>
      </c>
      <c r="F465" t="s">
        <v>41</v>
      </c>
      <c r="G465" t="s">
        <v>42</v>
      </c>
      <c r="H465">
        <v>6</v>
      </c>
      <c r="I465">
        <v>0</v>
      </c>
      <c r="J465" t="s">
        <v>101</v>
      </c>
      <c r="K465" t="s">
        <v>102</v>
      </c>
      <c r="L465" t="s">
        <v>22</v>
      </c>
      <c r="M465">
        <v>33</v>
      </c>
    </row>
    <row r="466" spans="1:13" x14ac:dyDescent="0.25">
      <c r="A466" t="s">
        <v>96</v>
      </c>
      <c r="B466" t="s">
        <v>97</v>
      </c>
      <c r="C466" t="s">
        <v>98</v>
      </c>
      <c r="D466" t="s">
        <v>99</v>
      </c>
      <c r="E466" t="s">
        <v>100</v>
      </c>
      <c r="F466" t="s">
        <v>45</v>
      </c>
      <c r="G466" t="s">
        <v>46</v>
      </c>
      <c r="H466">
        <v>0</v>
      </c>
      <c r="I466">
        <v>3</v>
      </c>
      <c r="J466" t="s">
        <v>101</v>
      </c>
      <c r="K466" t="s">
        <v>102</v>
      </c>
      <c r="L466" t="s">
        <v>22</v>
      </c>
      <c r="M466">
        <v>33</v>
      </c>
    </row>
    <row r="467" spans="1:13" x14ac:dyDescent="0.25">
      <c r="A467" t="s">
        <v>96</v>
      </c>
      <c r="B467" t="s">
        <v>97</v>
      </c>
      <c r="C467" t="s">
        <v>98</v>
      </c>
      <c r="D467" t="s">
        <v>99</v>
      </c>
      <c r="E467" t="s">
        <v>100</v>
      </c>
      <c r="F467" t="s">
        <v>47</v>
      </c>
      <c r="G467" t="s">
        <v>48</v>
      </c>
      <c r="H467">
        <v>0</v>
      </c>
      <c r="I467">
        <v>1</v>
      </c>
      <c r="J467" t="s">
        <v>101</v>
      </c>
      <c r="K467" t="s">
        <v>102</v>
      </c>
      <c r="L467" t="s">
        <v>22</v>
      </c>
      <c r="M467">
        <v>33</v>
      </c>
    </row>
    <row r="468" spans="1:13" x14ac:dyDescent="0.25">
      <c r="A468" t="s">
        <v>96</v>
      </c>
      <c r="B468" t="s">
        <v>97</v>
      </c>
      <c r="C468" t="s">
        <v>98</v>
      </c>
      <c r="D468" t="s">
        <v>99</v>
      </c>
      <c r="E468" t="s">
        <v>100</v>
      </c>
      <c r="F468" t="s">
        <v>49</v>
      </c>
      <c r="G468" t="s">
        <v>50</v>
      </c>
      <c r="H468">
        <v>0</v>
      </c>
      <c r="I468">
        <v>1</v>
      </c>
      <c r="J468" t="s">
        <v>101</v>
      </c>
      <c r="K468" t="s">
        <v>102</v>
      </c>
      <c r="L468" t="s">
        <v>22</v>
      </c>
      <c r="M468">
        <v>33</v>
      </c>
    </row>
    <row r="469" spans="1:13" x14ac:dyDescent="0.25">
      <c r="A469" t="s">
        <v>96</v>
      </c>
      <c r="B469" t="s">
        <v>97</v>
      </c>
      <c r="C469" t="s">
        <v>98</v>
      </c>
      <c r="D469" t="s">
        <v>99</v>
      </c>
      <c r="E469" t="s">
        <v>100</v>
      </c>
      <c r="F469" t="s">
        <v>23</v>
      </c>
      <c r="G469" t="s">
        <v>24</v>
      </c>
      <c r="H469">
        <v>0</v>
      </c>
      <c r="I469">
        <v>1</v>
      </c>
      <c r="J469" t="s">
        <v>101</v>
      </c>
      <c r="K469" t="s">
        <v>102</v>
      </c>
      <c r="L469" t="s">
        <v>22</v>
      </c>
      <c r="M469">
        <v>33</v>
      </c>
    </row>
    <row r="470" spans="1:13" x14ac:dyDescent="0.25">
      <c r="A470" t="s">
        <v>96</v>
      </c>
      <c r="B470" t="s">
        <v>97</v>
      </c>
      <c r="C470" t="s">
        <v>98</v>
      </c>
      <c r="D470" t="s">
        <v>99</v>
      </c>
      <c r="E470" t="s">
        <v>100</v>
      </c>
      <c r="F470" t="s">
        <v>51</v>
      </c>
      <c r="G470" t="s">
        <v>52</v>
      </c>
      <c r="H470">
        <v>0</v>
      </c>
      <c r="I470">
        <v>5</v>
      </c>
      <c r="J470" t="s">
        <v>101</v>
      </c>
      <c r="K470" t="s">
        <v>102</v>
      </c>
      <c r="L470" t="s">
        <v>22</v>
      </c>
      <c r="M470">
        <v>33</v>
      </c>
    </row>
    <row r="471" spans="1:13" x14ac:dyDescent="0.25">
      <c r="A471" t="s">
        <v>96</v>
      </c>
      <c r="B471" t="s">
        <v>97</v>
      </c>
      <c r="C471" t="s">
        <v>98</v>
      </c>
      <c r="D471" t="s">
        <v>99</v>
      </c>
      <c r="E471" t="s">
        <v>100</v>
      </c>
      <c r="F471" t="s">
        <v>59</v>
      </c>
      <c r="G471" t="s">
        <v>60</v>
      </c>
      <c r="H471">
        <v>0</v>
      </c>
      <c r="I471">
        <v>3</v>
      </c>
      <c r="J471" t="s">
        <v>101</v>
      </c>
      <c r="K471" t="s">
        <v>102</v>
      </c>
      <c r="L471" t="s">
        <v>22</v>
      </c>
      <c r="M471">
        <v>33</v>
      </c>
    </row>
    <row r="472" spans="1:13" x14ac:dyDescent="0.25">
      <c r="A472" t="s">
        <v>96</v>
      </c>
      <c r="B472" t="s">
        <v>97</v>
      </c>
      <c r="C472" t="s">
        <v>98</v>
      </c>
      <c r="D472" t="s">
        <v>99</v>
      </c>
      <c r="E472" t="s">
        <v>100</v>
      </c>
      <c r="F472" t="s">
        <v>61</v>
      </c>
      <c r="G472" t="s">
        <v>62</v>
      </c>
      <c r="H472">
        <v>0</v>
      </c>
      <c r="I472">
        <v>1</v>
      </c>
      <c r="J472" t="s">
        <v>101</v>
      </c>
      <c r="K472" t="s">
        <v>102</v>
      </c>
      <c r="L472" t="s">
        <v>22</v>
      </c>
      <c r="M472">
        <v>33</v>
      </c>
    </row>
    <row r="473" spans="1:13" x14ac:dyDescent="0.25">
      <c r="A473" t="s">
        <v>96</v>
      </c>
      <c r="B473" t="s">
        <v>97</v>
      </c>
      <c r="C473" t="s">
        <v>98</v>
      </c>
      <c r="D473" t="s">
        <v>99</v>
      </c>
      <c r="E473" t="s">
        <v>100</v>
      </c>
      <c r="F473" t="s">
        <v>63</v>
      </c>
      <c r="G473" t="s">
        <v>64</v>
      </c>
      <c r="H473">
        <v>0</v>
      </c>
      <c r="I473">
        <v>1</v>
      </c>
      <c r="J473" t="s">
        <v>101</v>
      </c>
      <c r="K473" t="s">
        <v>102</v>
      </c>
      <c r="L473" t="s">
        <v>22</v>
      </c>
      <c r="M473">
        <v>33</v>
      </c>
    </row>
    <row r="474" spans="1:13" x14ac:dyDescent="0.25">
      <c r="A474" t="s">
        <v>96</v>
      </c>
      <c r="B474" t="s">
        <v>97</v>
      </c>
      <c r="C474" t="s">
        <v>98</v>
      </c>
      <c r="D474" t="s">
        <v>99</v>
      </c>
      <c r="E474" t="s">
        <v>100</v>
      </c>
      <c r="F474" t="s">
        <v>65</v>
      </c>
      <c r="G474" t="s">
        <v>66</v>
      </c>
      <c r="H474">
        <v>0</v>
      </c>
      <c r="I474">
        <v>4</v>
      </c>
      <c r="J474" t="s">
        <v>101</v>
      </c>
      <c r="K474" t="s">
        <v>102</v>
      </c>
      <c r="L474" t="s">
        <v>22</v>
      </c>
      <c r="M474">
        <v>33</v>
      </c>
    </row>
    <row r="475" spans="1:13" x14ac:dyDescent="0.25">
      <c r="A475" t="s">
        <v>96</v>
      </c>
      <c r="B475" t="s">
        <v>97</v>
      </c>
      <c r="C475" t="s">
        <v>98</v>
      </c>
      <c r="D475" t="s">
        <v>99</v>
      </c>
      <c r="E475" t="s">
        <v>100</v>
      </c>
      <c r="F475" t="s">
        <v>67</v>
      </c>
      <c r="G475" t="s">
        <v>68</v>
      </c>
      <c r="H475">
        <v>8</v>
      </c>
      <c r="I475">
        <v>0</v>
      </c>
      <c r="J475" t="s">
        <v>101</v>
      </c>
      <c r="K475" t="s">
        <v>102</v>
      </c>
      <c r="L475" t="s">
        <v>22</v>
      </c>
      <c r="M475">
        <v>33</v>
      </c>
    </row>
    <row r="476" spans="1:13" x14ac:dyDescent="0.25">
      <c r="A476" t="s">
        <v>96</v>
      </c>
      <c r="B476" t="s">
        <v>97</v>
      </c>
      <c r="C476" t="s">
        <v>98</v>
      </c>
      <c r="D476" t="s">
        <v>99</v>
      </c>
      <c r="E476" t="s">
        <v>100</v>
      </c>
      <c r="F476" t="s">
        <v>71</v>
      </c>
      <c r="G476" t="s">
        <v>72</v>
      </c>
      <c r="H476">
        <v>0</v>
      </c>
      <c r="I476">
        <v>1</v>
      </c>
      <c r="J476" t="s">
        <v>101</v>
      </c>
      <c r="K476" t="s">
        <v>102</v>
      </c>
      <c r="L476" t="s">
        <v>22</v>
      </c>
      <c r="M476">
        <v>33</v>
      </c>
    </row>
    <row r="477" spans="1:13" x14ac:dyDescent="0.25">
      <c r="A477" t="s">
        <v>89</v>
      </c>
      <c r="B477" t="s">
        <v>90</v>
      </c>
      <c r="C477" t="s">
        <v>91</v>
      </c>
      <c r="D477" t="s">
        <v>92</v>
      </c>
      <c r="E477" t="s">
        <v>93</v>
      </c>
      <c r="F477" t="s">
        <v>45</v>
      </c>
      <c r="G477" t="s">
        <v>46</v>
      </c>
      <c r="H477">
        <v>0</v>
      </c>
      <c r="I477">
        <v>1</v>
      </c>
      <c r="J477" t="s">
        <v>94</v>
      </c>
      <c r="K477" t="s">
        <v>95</v>
      </c>
      <c r="L477" t="s">
        <v>22</v>
      </c>
      <c r="M477">
        <v>32</v>
      </c>
    </row>
    <row r="478" spans="1:13" x14ac:dyDescent="0.25">
      <c r="A478" t="s">
        <v>89</v>
      </c>
      <c r="B478" t="s">
        <v>90</v>
      </c>
      <c r="C478" t="s">
        <v>91</v>
      </c>
      <c r="D478" t="s">
        <v>92</v>
      </c>
      <c r="E478" t="s">
        <v>93</v>
      </c>
      <c r="F478" t="s">
        <v>51</v>
      </c>
      <c r="G478" t="s">
        <v>52</v>
      </c>
      <c r="H478">
        <v>0</v>
      </c>
      <c r="I478">
        <v>1</v>
      </c>
      <c r="J478" t="s">
        <v>94</v>
      </c>
      <c r="K478" t="s">
        <v>95</v>
      </c>
      <c r="L478" t="s">
        <v>22</v>
      </c>
      <c r="M478">
        <v>32</v>
      </c>
    </row>
    <row r="479" spans="1:13" x14ac:dyDescent="0.25">
      <c r="A479" t="s">
        <v>89</v>
      </c>
      <c r="B479" t="s">
        <v>90</v>
      </c>
      <c r="C479" t="s">
        <v>91</v>
      </c>
      <c r="D479" t="s">
        <v>92</v>
      </c>
      <c r="E479" t="s">
        <v>93</v>
      </c>
      <c r="F479" t="s">
        <v>67</v>
      </c>
      <c r="G479" t="s">
        <v>68</v>
      </c>
      <c r="H479">
        <v>4</v>
      </c>
      <c r="I479">
        <v>0</v>
      </c>
      <c r="J479" t="s">
        <v>94</v>
      </c>
      <c r="K479" t="s">
        <v>95</v>
      </c>
      <c r="L479" t="s">
        <v>22</v>
      </c>
      <c r="M479">
        <v>32</v>
      </c>
    </row>
    <row r="480" spans="1:13" x14ac:dyDescent="0.25">
      <c r="A480" t="s">
        <v>83</v>
      </c>
      <c r="B480" t="s">
        <v>84</v>
      </c>
      <c r="C480" t="s">
        <v>85</v>
      </c>
      <c r="D480" t="s">
        <v>86</v>
      </c>
      <c r="E480" t="s">
        <v>87</v>
      </c>
      <c r="F480" t="s">
        <v>18</v>
      </c>
      <c r="G480" t="s">
        <v>19</v>
      </c>
      <c r="H480">
        <v>0</v>
      </c>
      <c r="I480">
        <v>2</v>
      </c>
      <c r="J480" t="s">
        <v>20</v>
      </c>
      <c r="K480" t="s">
        <v>88</v>
      </c>
      <c r="L480" t="s">
        <v>22</v>
      </c>
      <c r="M480">
        <v>32</v>
      </c>
    </row>
    <row r="481" spans="1:13" x14ac:dyDescent="0.25">
      <c r="A481" t="s">
        <v>83</v>
      </c>
      <c r="B481" t="s">
        <v>84</v>
      </c>
      <c r="C481" t="s">
        <v>85</v>
      </c>
      <c r="D481" t="s">
        <v>86</v>
      </c>
      <c r="E481" t="s">
        <v>87</v>
      </c>
      <c r="F481" t="s">
        <v>45</v>
      </c>
      <c r="G481" t="s">
        <v>46</v>
      </c>
      <c r="H481">
        <v>0</v>
      </c>
      <c r="I481">
        <v>2</v>
      </c>
      <c r="J481" t="s">
        <v>20</v>
      </c>
      <c r="K481" t="s">
        <v>88</v>
      </c>
      <c r="L481" t="s">
        <v>22</v>
      </c>
      <c r="M481">
        <v>32</v>
      </c>
    </row>
    <row r="482" spans="1:13" x14ac:dyDescent="0.25">
      <c r="A482" t="s">
        <v>83</v>
      </c>
      <c r="B482" t="s">
        <v>84</v>
      </c>
      <c r="C482" t="s">
        <v>85</v>
      </c>
      <c r="D482" t="s">
        <v>86</v>
      </c>
      <c r="E482" t="s">
        <v>87</v>
      </c>
      <c r="F482" t="s">
        <v>53</v>
      </c>
      <c r="G482" t="s">
        <v>54</v>
      </c>
      <c r="H482">
        <v>5</v>
      </c>
      <c r="I482">
        <v>0</v>
      </c>
      <c r="J482" t="s">
        <v>20</v>
      </c>
      <c r="K482" t="s">
        <v>88</v>
      </c>
      <c r="L482" t="s">
        <v>22</v>
      </c>
      <c r="M482">
        <v>32</v>
      </c>
    </row>
    <row r="483" spans="1:13" x14ac:dyDescent="0.25">
      <c r="A483" t="s">
        <v>83</v>
      </c>
      <c r="B483" t="s">
        <v>84</v>
      </c>
      <c r="C483" t="s">
        <v>85</v>
      </c>
      <c r="D483" t="s">
        <v>86</v>
      </c>
      <c r="E483" t="s">
        <v>87</v>
      </c>
      <c r="F483" t="s">
        <v>59</v>
      </c>
      <c r="G483" t="s">
        <v>60</v>
      </c>
      <c r="H483">
        <v>0</v>
      </c>
      <c r="I483">
        <v>1</v>
      </c>
      <c r="J483" t="s">
        <v>20</v>
      </c>
      <c r="K483" t="s">
        <v>88</v>
      </c>
      <c r="L483" t="s">
        <v>22</v>
      </c>
      <c r="M483">
        <v>32</v>
      </c>
    </row>
    <row r="484" spans="1:13" x14ac:dyDescent="0.25">
      <c r="A484" t="s">
        <v>83</v>
      </c>
      <c r="B484" t="s">
        <v>84</v>
      </c>
      <c r="C484" t="s">
        <v>85</v>
      </c>
      <c r="D484" t="s">
        <v>86</v>
      </c>
      <c r="E484" t="s">
        <v>87</v>
      </c>
      <c r="F484" t="s">
        <v>65</v>
      </c>
      <c r="G484" t="s">
        <v>66</v>
      </c>
      <c r="H484">
        <v>0</v>
      </c>
      <c r="I484">
        <v>2</v>
      </c>
      <c r="J484" t="s">
        <v>20</v>
      </c>
      <c r="K484" t="s">
        <v>88</v>
      </c>
      <c r="L484" t="s">
        <v>22</v>
      </c>
      <c r="M484">
        <v>32</v>
      </c>
    </row>
    <row r="485" spans="1:13" x14ac:dyDescent="0.25">
      <c r="A485" t="s">
        <v>83</v>
      </c>
      <c r="B485" t="s">
        <v>84</v>
      </c>
      <c r="C485" t="s">
        <v>85</v>
      </c>
      <c r="D485" t="s">
        <v>86</v>
      </c>
      <c r="E485" t="s">
        <v>87</v>
      </c>
      <c r="F485" t="s">
        <v>67</v>
      </c>
      <c r="G485" t="s">
        <v>68</v>
      </c>
      <c r="H485">
        <v>0</v>
      </c>
      <c r="I485">
        <v>1</v>
      </c>
      <c r="J485" t="s">
        <v>20</v>
      </c>
      <c r="K485" t="s">
        <v>88</v>
      </c>
      <c r="L485" t="s">
        <v>22</v>
      </c>
      <c r="M485">
        <v>32</v>
      </c>
    </row>
    <row r="486" spans="1:13" x14ac:dyDescent="0.25">
      <c r="A486" t="s">
        <v>83</v>
      </c>
      <c r="B486" t="s">
        <v>84</v>
      </c>
      <c r="C486" t="s">
        <v>85</v>
      </c>
      <c r="D486" t="s">
        <v>86</v>
      </c>
      <c r="E486" t="s">
        <v>87</v>
      </c>
      <c r="F486" t="s">
        <v>71</v>
      </c>
      <c r="G486" t="s">
        <v>72</v>
      </c>
      <c r="H486">
        <v>0</v>
      </c>
      <c r="I486">
        <v>1</v>
      </c>
      <c r="J486" t="s">
        <v>20</v>
      </c>
      <c r="K486" t="s">
        <v>88</v>
      </c>
      <c r="L486" t="s">
        <v>22</v>
      </c>
      <c r="M486">
        <v>32</v>
      </c>
    </row>
    <row r="487" spans="1:13" x14ac:dyDescent="0.25">
      <c r="A487" t="s">
        <v>73</v>
      </c>
      <c r="B487" t="s">
        <v>74</v>
      </c>
      <c r="C487" t="s">
        <v>75</v>
      </c>
      <c r="D487" t="s">
        <v>76</v>
      </c>
      <c r="E487" t="s">
        <v>77</v>
      </c>
      <c r="F487" t="s">
        <v>18</v>
      </c>
      <c r="G487" t="s">
        <v>19</v>
      </c>
      <c r="H487">
        <v>0</v>
      </c>
      <c r="I487">
        <v>6</v>
      </c>
      <c r="J487" t="s">
        <v>20</v>
      </c>
      <c r="K487" t="s">
        <v>78</v>
      </c>
      <c r="L487" t="s">
        <v>22</v>
      </c>
      <c r="M487">
        <v>34</v>
      </c>
    </row>
    <row r="488" spans="1:13" x14ac:dyDescent="0.25">
      <c r="A488" t="s">
        <v>73</v>
      </c>
      <c r="B488" t="s">
        <v>74</v>
      </c>
      <c r="C488" t="s">
        <v>75</v>
      </c>
      <c r="D488" t="s">
        <v>76</v>
      </c>
      <c r="E488" t="s">
        <v>77</v>
      </c>
      <c r="F488" t="s">
        <v>79</v>
      </c>
      <c r="G488" t="s">
        <v>80</v>
      </c>
      <c r="H488">
        <v>0</v>
      </c>
      <c r="I488">
        <v>3</v>
      </c>
      <c r="J488" t="s">
        <v>20</v>
      </c>
      <c r="K488" t="s">
        <v>78</v>
      </c>
      <c r="L488" t="s">
        <v>22</v>
      </c>
      <c r="M488">
        <v>34</v>
      </c>
    </row>
    <row r="489" spans="1:13" x14ac:dyDescent="0.25">
      <c r="A489" t="s">
        <v>73</v>
      </c>
      <c r="B489" t="s">
        <v>74</v>
      </c>
      <c r="C489" t="s">
        <v>75</v>
      </c>
      <c r="D489" t="s">
        <v>76</v>
      </c>
      <c r="E489" t="s">
        <v>77</v>
      </c>
      <c r="F489" t="s">
        <v>39</v>
      </c>
      <c r="G489" t="s">
        <v>40</v>
      </c>
      <c r="H489">
        <v>0</v>
      </c>
      <c r="I489">
        <v>1</v>
      </c>
      <c r="J489" t="s">
        <v>20</v>
      </c>
      <c r="K489" t="s">
        <v>78</v>
      </c>
      <c r="L489" t="s">
        <v>22</v>
      </c>
      <c r="M489">
        <v>34</v>
      </c>
    </row>
    <row r="490" spans="1:13" x14ac:dyDescent="0.25">
      <c r="A490" t="s">
        <v>73</v>
      </c>
      <c r="B490" t="s">
        <v>74</v>
      </c>
      <c r="C490" t="s">
        <v>75</v>
      </c>
      <c r="D490" t="s">
        <v>76</v>
      </c>
      <c r="E490" t="s">
        <v>77</v>
      </c>
      <c r="F490" t="s">
        <v>43</v>
      </c>
      <c r="G490" t="s">
        <v>44</v>
      </c>
      <c r="H490">
        <v>0</v>
      </c>
      <c r="I490">
        <v>3</v>
      </c>
      <c r="J490" t="s">
        <v>20</v>
      </c>
      <c r="K490" t="s">
        <v>78</v>
      </c>
      <c r="L490" t="s">
        <v>22</v>
      </c>
      <c r="M490">
        <v>34</v>
      </c>
    </row>
    <row r="491" spans="1:13" x14ac:dyDescent="0.25">
      <c r="A491" t="s">
        <v>73</v>
      </c>
      <c r="B491" t="s">
        <v>74</v>
      </c>
      <c r="C491" t="s">
        <v>75</v>
      </c>
      <c r="D491" t="s">
        <v>76</v>
      </c>
      <c r="E491" t="s">
        <v>77</v>
      </c>
      <c r="F491" t="s">
        <v>45</v>
      </c>
      <c r="G491" t="s">
        <v>46</v>
      </c>
      <c r="H491">
        <v>0</v>
      </c>
      <c r="I491">
        <v>11</v>
      </c>
      <c r="J491" t="s">
        <v>20</v>
      </c>
      <c r="K491" t="s">
        <v>78</v>
      </c>
      <c r="L491" t="s">
        <v>22</v>
      </c>
      <c r="M491">
        <v>34</v>
      </c>
    </row>
    <row r="492" spans="1:13" x14ac:dyDescent="0.25">
      <c r="A492" t="s">
        <v>73</v>
      </c>
      <c r="B492" t="s">
        <v>74</v>
      </c>
      <c r="C492" t="s">
        <v>75</v>
      </c>
      <c r="D492" t="s">
        <v>76</v>
      </c>
      <c r="E492" t="s">
        <v>77</v>
      </c>
      <c r="F492" t="s">
        <v>49</v>
      </c>
      <c r="G492" t="s">
        <v>50</v>
      </c>
      <c r="H492">
        <v>0</v>
      </c>
      <c r="I492">
        <v>2</v>
      </c>
      <c r="J492" t="s">
        <v>20</v>
      </c>
      <c r="K492" t="s">
        <v>78</v>
      </c>
      <c r="L492" t="s">
        <v>22</v>
      </c>
      <c r="M492">
        <v>34</v>
      </c>
    </row>
    <row r="493" spans="1:13" x14ac:dyDescent="0.25">
      <c r="A493" t="s">
        <v>73</v>
      </c>
      <c r="B493" t="s">
        <v>74</v>
      </c>
      <c r="C493" t="s">
        <v>75</v>
      </c>
      <c r="D493" t="s">
        <v>76</v>
      </c>
      <c r="E493" t="s">
        <v>77</v>
      </c>
      <c r="F493" t="s">
        <v>51</v>
      </c>
      <c r="G493" t="s">
        <v>52</v>
      </c>
      <c r="H493">
        <v>0</v>
      </c>
      <c r="I493">
        <v>15</v>
      </c>
      <c r="J493" t="s">
        <v>20</v>
      </c>
      <c r="K493" t="s">
        <v>78</v>
      </c>
      <c r="L493" t="s">
        <v>22</v>
      </c>
      <c r="M493">
        <v>34</v>
      </c>
    </row>
    <row r="494" spans="1:13" x14ac:dyDescent="0.25">
      <c r="A494" t="s">
        <v>73</v>
      </c>
      <c r="B494" t="s">
        <v>74</v>
      </c>
      <c r="C494" t="s">
        <v>75</v>
      </c>
      <c r="D494" t="s">
        <v>76</v>
      </c>
      <c r="E494" t="s">
        <v>77</v>
      </c>
      <c r="F494" t="s">
        <v>53</v>
      </c>
      <c r="G494" t="s">
        <v>54</v>
      </c>
      <c r="H494">
        <v>0</v>
      </c>
      <c r="I494">
        <v>1</v>
      </c>
      <c r="J494" t="s">
        <v>20</v>
      </c>
      <c r="K494" t="s">
        <v>78</v>
      </c>
      <c r="L494" t="s">
        <v>22</v>
      </c>
      <c r="M494">
        <v>34</v>
      </c>
    </row>
    <row r="495" spans="1:13" x14ac:dyDescent="0.25">
      <c r="A495" t="s">
        <v>73</v>
      </c>
      <c r="B495" t="s">
        <v>74</v>
      </c>
      <c r="C495" t="s">
        <v>75</v>
      </c>
      <c r="D495" t="s">
        <v>76</v>
      </c>
      <c r="E495" t="s">
        <v>77</v>
      </c>
      <c r="F495" t="s">
        <v>81</v>
      </c>
      <c r="G495" t="s">
        <v>82</v>
      </c>
      <c r="H495">
        <v>0</v>
      </c>
      <c r="I495">
        <v>3</v>
      </c>
      <c r="J495" t="s">
        <v>20</v>
      </c>
      <c r="K495" t="s">
        <v>78</v>
      </c>
      <c r="L495" t="s">
        <v>22</v>
      </c>
      <c r="M495">
        <v>34</v>
      </c>
    </row>
    <row r="496" spans="1:13" x14ac:dyDescent="0.25">
      <c r="A496" t="s">
        <v>73</v>
      </c>
      <c r="B496" t="s">
        <v>74</v>
      </c>
      <c r="C496" t="s">
        <v>75</v>
      </c>
      <c r="D496" t="s">
        <v>76</v>
      </c>
      <c r="E496" t="s">
        <v>77</v>
      </c>
      <c r="F496" t="s">
        <v>59</v>
      </c>
      <c r="G496" t="s">
        <v>60</v>
      </c>
      <c r="H496">
        <v>0</v>
      </c>
      <c r="I496">
        <v>2</v>
      </c>
      <c r="J496" t="s">
        <v>20</v>
      </c>
      <c r="K496" t="s">
        <v>78</v>
      </c>
      <c r="L496" t="s">
        <v>22</v>
      </c>
      <c r="M496">
        <v>34</v>
      </c>
    </row>
    <row r="497" spans="1:13" x14ac:dyDescent="0.25">
      <c r="A497" t="s">
        <v>73</v>
      </c>
      <c r="B497" t="s">
        <v>74</v>
      </c>
      <c r="C497" t="s">
        <v>75</v>
      </c>
      <c r="D497" t="s">
        <v>76</v>
      </c>
      <c r="E497" t="s">
        <v>77</v>
      </c>
      <c r="F497" t="s">
        <v>61</v>
      </c>
      <c r="G497" t="s">
        <v>62</v>
      </c>
      <c r="H497">
        <v>0</v>
      </c>
      <c r="I497">
        <v>3</v>
      </c>
      <c r="J497" t="s">
        <v>20</v>
      </c>
      <c r="K497" t="s">
        <v>78</v>
      </c>
      <c r="L497" t="s">
        <v>22</v>
      </c>
      <c r="M497">
        <v>34</v>
      </c>
    </row>
    <row r="498" spans="1:13" x14ac:dyDescent="0.25">
      <c r="A498" t="s">
        <v>73</v>
      </c>
      <c r="B498" t="s">
        <v>74</v>
      </c>
      <c r="C498" t="s">
        <v>75</v>
      </c>
      <c r="D498" t="s">
        <v>76</v>
      </c>
      <c r="E498" t="s">
        <v>77</v>
      </c>
      <c r="F498" t="s">
        <v>63</v>
      </c>
      <c r="G498" t="s">
        <v>64</v>
      </c>
      <c r="H498">
        <v>0</v>
      </c>
      <c r="I498">
        <v>2</v>
      </c>
      <c r="J498" t="s">
        <v>20</v>
      </c>
      <c r="K498" t="s">
        <v>78</v>
      </c>
      <c r="L498" t="s">
        <v>22</v>
      </c>
      <c r="M498">
        <v>34</v>
      </c>
    </row>
    <row r="499" spans="1:13" x14ac:dyDescent="0.25">
      <c r="A499" t="s">
        <v>73</v>
      </c>
      <c r="B499" t="s">
        <v>74</v>
      </c>
      <c r="C499" t="s">
        <v>75</v>
      </c>
      <c r="D499" t="s">
        <v>76</v>
      </c>
      <c r="E499" t="s">
        <v>77</v>
      </c>
      <c r="F499" t="s">
        <v>27</v>
      </c>
      <c r="G499" t="s">
        <v>28</v>
      </c>
      <c r="H499">
        <v>0</v>
      </c>
      <c r="I499">
        <v>1</v>
      </c>
      <c r="J499" t="s">
        <v>20</v>
      </c>
      <c r="K499" t="s">
        <v>78</v>
      </c>
      <c r="L499" t="s">
        <v>22</v>
      </c>
      <c r="M499">
        <v>34</v>
      </c>
    </row>
    <row r="500" spans="1:13" x14ac:dyDescent="0.25">
      <c r="A500" t="s">
        <v>73</v>
      </c>
      <c r="B500" t="s">
        <v>74</v>
      </c>
      <c r="C500" t="s">
        <v>75</v>
      </c>
      <c r="D500" t="s">
        <v>76</v>
      </c>
      <c r="E500" t="s">
        <v>77</v>
      </c>
      <c r="F500" t="s">
        <v>65</v>
      </c>
      <c r="G500" t="s">
        <v>66</v>
      </c>
      <c r="H500">
        <v>0</v>
      </c>
      <c r="I500">
        <v>6</v>
      </c>
      <c r="J500" t="s">
        <v>20</v>
      </c>
      <c r="K500" t="s">
        <v>78</v>
      </c>
      <c r="L500" t="s">
        <v>22</v>
      </c>
      <c r="M500">
        <v>34</v>
      </c>
    </row>
    <row r="501" spans="1:13" x14ac:dyDescent="0.25">
      <c r="A501" t="s">
        <v>73</v>
      </c>
      <c r="B501" t="s">
        <v>74</v>
      </c>
      <c r="C501" t="s">
        <v>75</v>
      </c>
      <c r="D501" t="s">
        <v>76</v>
      </c>
      <c r="E501" t="s">
        <v>77</v>
      </c>
      <c r="F501" t="s">
        <v>67</v>
      </c>
      <c r="G501" t="s">
        <v>68</v>
      </c>
      <c r="H501">
        <v>0</v>
      </c>
      <c r="I501">
        <v>1</v>
      </c>
      <c r="J501" t="s">
        <v>20</v>
      </c>
      <c r="K501" t="s">
        <v>78</v>
      </c>
      <c r="L501" t="s">
        <v>22</v>
      </c>
      <c r="M501">
        <v>34</v>
      </c>
    </row>
    <row r="502" spans="1:13" x14ac:dyDescent="0.25">
      <c r="A502" t="s">
        <v>73</v>
      </c>
      <c r="B502" t="s">
        <v>74</v>
      </c>
      <c r="C502" t="s">
        <v>75</v>
      </c>
      <c r="D502" t="s">
        <v>76</v>
      </c>
      <c r="E502" t="s">
        <v>77</v>
      </c>
      <c r="F502" t="s">
        <v>29</v>
      </c>
      <c r="G502" t="s">
        <v>30</v>
      </c>
      <c r="H502">
        <v>0</v>
      </c>
      <c r="I502">
        <v>1</v>
      </c>
      <c r="J502" t="s">
        <v>20</v>
      </c>
      <c r="K502" t="s">
        <v>78</v>
      </c>
      <c r="L502" t="s">
        <v>22</v>
      </c>
      <c r="M502">
        <v>34</v>
      </c>
    </row>
    <row r="503" spans="1:13" x14ac:dyDescent="0.25">
      <c r="A503" t="s">
        <v>73</v>
      </c>
      <c r="B503" t="s">
        <v>74</v>
      </c>
      <c r="C503" t="s">
        <v>75</v>
      </c>
      <c r="D503" t="s">
        <v>76</v>
      </c>
      <c r="E503" t="s">
        <v>77</v>
      </c>
      <c r="F503" t="s">
        <v>69</v>
      </c>
      <c r="G503" t="s">
        <v>70</v>
      </c>
      <c r="H503">
        <v>0</v>
      </c>
      <c r="I503">
        <v>1</v>
      </c>
      <c r="J503" t="s">
        <v>20</v>
      </c>
      <c r="K503" t="s">
        <v>78</v>
      </c>
      <c r="L503" t="s">
        <v>22</v>
      </c>
      <c r="M503">
        <v>34</v>
      </c>
    </row>
    <row r="504" spans="1:13" x14ac:dyDescent="0.25">
      <c r="A504" t="s">
        <v>73</v>
      </c>
      <c r="B504" t="s">
        <v>74</v>
      </c>
      <c r="C504" t="s">
        <v>75</v>
      </c>
      <c r="D504" t="s">
        <v>76</v>
      </c>
      <c r="E504" t="s">
        <v>77</v>
      </c>
      <c r="F504" t="s">
        <v>71</v>
      </c>
      <c r="G504" t="s">
        <v>72</v>
      </c>
      <c r="H504">
        <v>0</v>
      </c>
      <c r="I504">
        <v>2</v>
      </c>
      <c r="J504" t="s">
        <v>20</v>
      </c>
      <c r="K504" t="s">
        <v>78</v>
      </c>
      <c r="L504" t="s">
        <v>22</v>
      </c>
      <c r="M504">
        <v>34</v>
      </c>
    </row>
    <row r="505" spans="1:13" x14ac:dyDescent="0.25">
      <c r="A505" t="s">
        <v>33</v>
      </c>
      <c r="B505" t="s">
        <v>34</v>
      </c>
      <c r="C505" t="s">
        <v>35</v>
      </c>
      <c r="D505" t="s">
        <v>36</v>
      </c>
      <c r="E505" t="s">
        <v>37</v>
      </c>
      <c r="F505" t="s">
        <v>18</v>
      </c>
      <c r="G505" t="s">
        <v>19</v>
      </c>
      <c r="H505">
        <v>0</v>
      </c>
      <c r="I505">
        <v>2</v>
      </c>
      <c r="J505" t="s">
        <v>20</v>
      </c>
      <c r="K505" t="s">
        <v>38</v>
      </c>
      <c r="L505" t="s">
        <v>22</v>
      </c>
      <c r="M505">
        <v>8</v>
      </c>
    </row>
    <row r="506" spans="1:13" x14ac:dyDescent="0.25">
      <c r="A506" t="s">
        <v>33</v>
      </c>
      <c r="B506" t="s">
        <v>34</v>
      </c>
      <c r="C506" t="s">
        <v>35</v>
      </c>
      <c r="D506" t="s">
        <v>36</v>
      </c>
      <c r="E506" t="s">
        <v>37</v>
      </c>
      <c r="F506" t="s">
        <v>39</v>
      </c>
      <c r="G506" t="s">
        <v>40</v>
      </c>
      <c r="H506">
        <v>5</v>
      </c>
      <c r="I506">
        <v>0</v>
      </c>
      <c r="J506" t="s">
        <v>20</v>
      </c>
      <c r="K506" t="s">
        <v>38</v>
      </c>
      <c r="L506" t="s">
        <v>22</v>
      </c>
      <c r="M506">
        <v>8</v>
      </c>
    </row>
    <row r="507" spans="1:13" x14ac:dyDescent="0.25">
      <c r="A507" t="s">
        <v>33</v>
      </c>
      <c r="B507" t="s">
        <v>34</v>
      </c>
      <c r="C507" t="s">
        <v>35</v>
      </c>
      <c r="D507" t="s">
        <v>36</v>
      </c>
      <c r="E507" t="s">
        <v>37</v>
      </c>
      <c r="F507" t="s">
        <v>41</v>
      </c>
      <c r="G507" t="s">
        <v>42</v>
      </c>
      <c r="H507">
        <v>2</v>
      </c>
      <c r="I507">
        <v>0</v>
      </c>
      <c r="J507" t="s">
        <v>20</v>
      </c>
      <c r="K507" t="s">
        <v>38</v>
      </c>
      <c r="L507" t="s">
        <v>22</v>
      </c>
      <c r="M507">
        <v>8</v>
      </c>
    </row>
    <row r="508" spans="1:13" x14ac:dyDescent="0.25">
      <c r="A508" t="s">
        <v>33</v>
      </c>
      <c r="B508" t="s">
        <v>34</v>
      </c>
      <c r="C508" t="s">
        <v>35</v>
      </c>
      <c r="D508" t="s">
        <v>36</v>
      </c>
      <c r="E508" t="s">
        <v>37</v>
      </c>
      <c r="F508" t="s">
        <v>43</v>
      </c>
      <c r="G508" t="s">
        <v>44</v>
      </c>
      <c r="H508">
        <v>5</v>
      </c>
      <c r="I508">
        <v>0</v>
      </c>
      <c r="J508" t="s">
        <v>20</v>
      </c>
      <c r="K508" t="s">
        <v>38</v>
      </c>
      <c r="L508" t="s">
        <v>22</v>
      </c>
      <c r="M508">
        <v>8</v>
      </c>
    </row>
    <row r="509" spans="1:13" x14ac:dyDescent="0.25">
      <c r="A509" t="s">
        <v>33</v>
      </c>
      <c r="B509" t="s">
        <v>34</v>
      </c>
      <c r="C509" t="s">
        <v>35</v>
      </c>
      <c r="D509" t="s">
        <v>36</v>
      </c>
      <c r="E509" t="s">
        <v>37</v>
      </c>
      <c r="F509" t="s">
        <v>45</v>
      </c>
      <c r="G509" t="s">
        <v>46</v>
      </c>
      <c r="H509">
        <v>0</v>
      </c>
      <c r="I509">
        <v>12</v>
      </c>
      <c r="J509" t="s">
        <v>20</v>
      </c>
      <c r="K509" t="s">
        <v>38</v>
      </c>
      <c r="L509" t="s">
        <v>22</v>
      </c>
      <c r="M509">
        <v>8</v>
      </c>
    </row>
    <row r="510" spans="1:13" x14ac:dyDescent="0.25">
      <c r="A510" t="s">
        <v>33</v>
      </c>
      <c r="B510" t="s">
        <v>34</v>
      </c>
      <c r="C510" t="s">
        <v>35</v>
      </c>
      <c r="D510" t="s">
        <v>36</v>
      </c>
      <c r="E510" t="s">
        <v>37</v>
      </c>
      <c r="F510" t="s">
        <v>47</v>
      </c>
      <c r="G510" t="s">
        <v>48</v>
      </c>
      <c r="H510">
        <v>0</v>
      </c>
      <c r="I510">
        <v>1</v>
      </c>
      <c r="J510" t="s">
        <v>20</v>
      </c>
      <c r="K510" t="s">
        <v>38</v>
      </c>
      <c r="L510" t="s">
        <v>22</v>
      </c>
      <c r="M510">
        <v>8</v>
      </c>
    </row>
    <row r="511" spans="1:13" x14ac:dyDescent="0.25">
      <c r="A511" t="s">
        <v>33</v>
      </c>
      <c r="B511" t="s">
        <v>34</v>
      </c>
      <c r="C511" t="s">
        <v>35</v>
      </c>
      <c r="D511" t="s">
        <v>36</v>
      </c>
      <c r="E511" t="s">
        <v>37</v>
      </c>
      <c r="F511" t="s">
        <v>49</v>
      </c>
      <c r="G511" t="s">
        <v>50</v>
      </c>
      <c r="H511">
        <v>5</v>
      </c>
      <c r="I511">
        <v>0</v>
      </c>
      <c r="J511" t="s">
        <v>20</v>
      </c>
      <c r="K511" t="s">
        <v>38</v>
      </c>
      <c r="L511" t="s">
        <v>22</v>
      </c>
      <c r="M511">
        <v>8</v>
      </c>
    </row>
    <row r="512" spans="1:13" x14ac:dyDescent="0.25">
      <c r="A512" t="s">
        <v>33</v>
      </c>
      <c r="B512" t="s">
        <v>34</v>
      </c>
      <c r="C512" t="s">
        <v>35</v>
      </c>
      <c r="D512" t="s">
        <v>36</v>
      </c>
      <c r="E512" t="s">
        <v>37</v>
      </c>
      <c r="F512" t="s">
        <v>23</v>
      </c>
      <c r="G512" t="s">
        <v>24</v>
      </c>
      <c r="H512">
        <v>0</v>
      </c>
      <c r="I512">
        <v>1</v>
      </c>
      <c r="J512" t="s">
        <v>20</v>
      </c>
      <c r="K512" t="s">
        <v>38</v>
      </c>
      <c r="L512" t="s">
        <v>22</v>
      </c>
      <c r="M512">
        <v>8</v>
      </c>
    </row>
    <row r="513" spans="1:13" x14ac:dyDescent="0.25">
      <c r="A513" t="s">
        <v>33</v>
      </c>
      <c r="B513" t="s">
        <v>34</v>
      </c>
      <c r="C513" t="s">
        <v>35</v>
      </c>
      <c r="D513" t="s">
        <v>36</v>
      </c>
      <c r="E513" t="s">
        <v>37</v>
      </c>
      <c r="F513" t="s">
        <v>51</v>
      </c>
      <c r="G513" t="s">
        <v>52</v>
      </c>
      <c r="H513">
        <v>0</v>
      </c>
      <c r="I513">
        <v>9</v>
      </c>
      <c r="J513" t="s">
        <v>20</v>
      </c>
      <c r="K513" t="s">
        <v>38</v>
      </c>
      <c r="L513" t="s">
        <v>22</v>
      </c>
      <c r="M513">
        <v>8</v>
      </c>
    </row>
    <row r="514" spans="1:13" x14ac:dyDescent="0.25">
      <c r="A514" t="s">
        <v>33</v>
      </c>
      <c r="B514" t="s">
        <v>34</v>
      </c>
      <c r="C514" t="s">
        <v>35</v>
      </c>
      <c r="D514" t="s">
        <v>36</v>
      </c>
      <c r="E514" t="s">
        <v>37</v>
      </c>
      <c r="F514" t="s">
        <v>53</v>
      </c>
      <c r="G514" t="s">
        <v>54</v>
      </c>
      <c r="H514">
        <v>5</v>
      </c>
      <c r="I514">
        <v>0</v>
      </c>
      <c r="J514" t="s">
        <v>20</v>
      </c>
      <c r="K514" t="s">
        <v>38</v>
      </c>
      <c r="L514" t="s">
        <v>22</v>
      </c>
      <c r="M514">
        <v>8</v>
      </c>
    </row>
    <row r="515" spans="1:13" x14ac:dyDescent="0.25">
      <c r="A515" t="s">
        <v>33</v>
      </c>
      <c r="B515" t="s">
        <v>34</v>
      </c>
      <c r="C515" t="s">
        <v>35</v>
      </c>
      <c r="D515" t="s">
        <v>36</v>
      </c>
      <c r="E515" t="s">
        <v>37</v>
      </c>
      <c r="F515" t="s">
        <v>55</v>
      </c>
      <c r="G515" t="s">
        <v>56</v>
      </c>
      <c r="H515">
        <v>0</v>
      </c>
      <c r="I515">
        <v>1</v>
      </c>
      <c r="J515" t="s">
        <v>20</v>
      </c>
      <c r="K515" t="s">
        <v>38</v>
      </c>
      <c r="L515" t="s">
        <v>22</v>
      </c>
      <c r="M515">
        <v>8</v>
      </c>
    </row>
    <row r="516" spans="1:13" x14ac:dyDescent="0.25">
      <c r="A516" t="s">
        <v>33</v>
      </c>
      <c r="B516" t="s">
        <v>34</v>
      </c>
      <c r="C516" t="s">
        <v>35</v>
      </c>
      <c r="D516" t="s">
        <v>36</v>
      </c>
      <c r="E516" t="s">
        <v>37</v>
      </c>
      <c r="F516" t="s">
        <v>57</v>
      </c>
      <c r="G516" t="s">
        <v>58</v>
      </c>
      <c r="H516">
        <v>2</v>
      </c>
      <c r="I516">
        <v>0</v>
      </c>
      <c r="J516" t="s">
        <v>20</v>
      </c>
      <c r="K516" t="s">
        <v>38</v>
      </c>
      <c r="L516" t="s">
        <v>22</v>
      </c>
      <c r="M516">
        <v>8</v>
      </c>
    </row>
    <row r="517" spans="1:13" x14ac:dyDescent="0.25">
      <c r="A517" t="s">
        <v>33</v>
      </c>
      <c r="B517" t="s">
        <v>34</v>
      </c>
      <c r="C517" t="s">
        <v>35</v>
      </c>
      <c r="D517" t="s">
        <v>36</v>
      </c>
      <c r="E517" t="s">
        <v>37</v>
      </c>
      <c r="F517" t="s">
        <v>59</v>
      </c>
      <c r="G517" t="s">
        <v>60</v>
      </c>
      <c r="H517">
        <v>0</v>
      </c>
      <c r="I517">
        <v>4</v>
      </c>
      <c r="J517" t="s">
        <v>20</v>
      </c>
      <c r="K517" t="s">
        <v>38</v>
      </c>
      <c r="L517" t="s">
        <v>22</v>
      </c>
      <c r="M517">
        <v>8</v>
      </c>
    </row>
    <row r="518" spans="1:13" x14ac:dyDescent="0.25">
      <c r="A518" t="s">
        <v>33</v>
      </c>
      <c r="B518" t="s">
        <v>34</v>
      </c>
      <c r="C518" t="s">
        <v>35</v>
      </c>
      <c r="D518" t="s">
        <v>36</v>
      </c>
      <c r="E518" t="s">
        <v>37</v>
      </c>
      <c r="F518" t="s">
        <v>61</v>
      </c>
      <c r="G518" t="s">
        <v>62</v>
      </c>
      <c r="H518">
        <v>5</v>
      </c>
      <c r="I518">
        <v>0</v>
      </c>
      <c r="J518" t="s">
        <v>20</v>
      </c>
      <c r="K518" t="s">
        <v>38</v>
      </c>
      <c r="L518" t="s">
        <v>22</v>
      </c>
      <c r="M518">
        <v>8</v>
      </c>
    </row>
    <row r="519" spans="1:13" x14ac:dyDescent="0.25">
      <c r="A519" t="s">
        <v>33</v>
      </c>
      <c r="B519" t="s">
        <v>34</v>
      </c>
      <c r="C519" t="s">
        <v>35</v>
      </c>
      <c r="D519" t="s">
        <v>36</v>
      </c>
      <c r="E519" t="s">
        <v>37</v>
      </c>
      <c r="F519" t="s">
        <v>63</v>
      </c>
      <c r="G519" t="s">
        <v>64</v>
      </c>
      <c r="H519">
        <v>2</v>
      </c>
      <c r="I519">
        <v>0</v>
      </c>
      <c r="J519" t="s">
        <v>20</v>
      </c>
      <c r="K519" t="s">
        <v>38</v>
      </c>
      <c r="L519" t="s">
        <v>22</v>
      </c>
      <c r="M519">
        <v>8</v>
      </c>
    </row>
    <row r="520" spans="1:13" x14ac:dyDescent="0.25">
      <c r="A520" t="s">
        <v>33</v>
      </c>
      <c r="B520" t="s">
        <v>34</v>
      </c>
      <c r="C520" t="s">
        <v>35</v>
      </c>
      <c r="D520" t="s">
        <v>36</v>
      </c>
      <c r="E520" t="s">
        <v>37</v>
      </c>
      <c r="F520" t="s">
        <v>25</v>
      </c>
      <c r="G520" t="s">
        <v>26</v>
      </c>
      <c r="H520">
        <v>0</v>
      </c>
      <c r="I520">
        <v>3</v>
      </c>
      <c r="J520" t="s">
        <v>20</v>
      </c>
      <c r="K520" t="s">
        <v>38</v>
      </c>
      <c r="L520" t="s">
        <v>22</v>
      </c>
      <c r="M520">
        <v>8</v>
      </c>
    </row>
    <row r="521" spans="1:13" x14ac:dyDescent="0.25">
      <c r="A521" t="s">
        <v>33</v>
      </c>
      <c r="B521" t="s">
        <v>34</v>
      </c>
      <c r="C521" t="s">
        <v>35</v>
      </c>
      <c r="D521" t="s">
        <v>36</v>
      </c>
      <c r="E521" t="s">
        <v>37</v>
      </c>
      <c r="F521" t="s">
        <v>27</v>
      </c>
      <c r="G521" t="s">
        <v>28</v>
      </c>
      <c r="H521">
        <v>0</v>
      </c>
      <c r="I521">
        <v>1</v>
      </c>
      <c r="J521" t="s">
        <v>20</v>
      </c>
      <c r="K521" t="s">
        <v>38</v>
      </c>
      <c r="L521" t="s">
        <v>22</v>
      </c>
      <c r="M521">
        <v>8</v>
      </c>
    </row>
    <row r="522" spans="1:13" x14ac:dyDescent="0.25">
      <c r="A522" t="s">
        <v>33</v>
      </c>
      <c r="B522" t="s">
        <v>34</v>
      </c>
      <c r="C522" t="s">
        <v>35</v>
      </c>
      <c r="D522" t="s">
        <v>36</v>
      </c>
      <c r="E522" t="s">
        <v>37</v>
      </c>
      <c r="F522" t="s">
        <v>65</v>
      </c>
      <c r="G522" t="s">
        <v>66</v>
      </c>
      <c r="H522">
        <v>0</v>
      </c>
      <c r="I522">
        <v>10</v>
      </c>
      <c r="J522" t="s">
        <v>20</v>
      </c>
      <c r="K522" t="s">
        <v>38</v>
      </c>
      <c r="L522" t="s">
        <v>22</v>
      </c>
      <c r="M522">
        <v>8</v>
      </c>
    </row>
    <row r="523" spans="1:13" x14ac:dyDescent="0.25">
      <c r="A523" t="s">
        <v>33</v>
      </c>
      <c r="B523" t="s">
        <v>34</v>
      </c>
      <c r="C523" t="s">
        <v>35</v>
      </c>
      <c r="D523" t="s">
        <v>36</v>
      </c>
      <c r="E523" t="s">
        <v>37</v>
      </c>
      <c r="F523" t="s">
        <v>67</v>
      </c>
      <c r="G523" t="s">
        <v>68</v>
      </c>
      <c r="H523">
        <v>0</v>
      </c>
      <c r="I523">
        <v>1</v>
      </c>
      <c r="J523" t="s">
        <v>20</v>
      </c>
      <c r="K523" t="s">
        <v>38</v>
      </c>
      <c r="L523" t="s">
        <v>22</v>
      </c>
      <c r="M523">
        <v>8</v>
      </c>
    </row>
    <row r="524" spans="1:13" x14ac:dyDescent="0.25">
      <c r="A524" t="s">
        <v>33</v>
      </c>
      <c r="B524" t="s">
        <v>34</v>
      </c>
      <c r="C524" t="s">
        <v>35</v>
      </c>
      <c r="D524" t="s">
        <v>36</v>
      </c>
      <c r="E524" t="s">
        <v>37</v>
      </c>
      <c r="F524" t="s">
        <v>29</v>
      </c>
      <c r="G524" t="s">
        <v>30</v>
      </c>
      <c r="H524">
        <v>5</v>
      </c>
      <c r="I524">
        <v>0</v>
      </c>
      <c r="J524" t="s">
        <v>20</v>
      </c>
      <c r="K524" t="s">
        <v>38</v>
      </c>
      <c r="L524" t="s">
        <v>22</v>
      </c>
      <c r="M524">
        <v>8</v>
      </c>
    </row>
    <row r="525" spans="1:13" x14ac:dyDescent="0.25">
      <c r="A525" t="s">
        <v>33</v>
      </c>
      <c r="B525" t="s">
        <v>34</v>
      </c>
      <c r="C525" t="s">
        <v>35</v>
      </c>
      <c r="D525" t="s">
        <v>36</v>
      </c>
      <c r="E525" t="s">
        <v>37</v>
      </c>
      <c r="F525" t="s">
        <v>69</v>
      </c>
      <c r="G525" t="s">
        <v>70</v>
      </c>
      <c r="H525">
        <v>6</v>
      </c>
      <c r="I525">
        <v>0</v>
      </c>
      <c r="J525" t="s">
        <v>20</v>
      </c>
      <c r="K525" t="s">
        <v>38</v>
      </c>
      <c r="L525" t="s">
        <v>22</v>
      </c>
      <c r="M525">
        <v>8</v>
      </c>
    </row>
    <row r="526" spans="1:13" x14ac:dyDescent="0.25">
      <c r="A526" t="s">
        <v>33</v>
      </c>
      <c r="B526" t="s">
        <v>34</v>
      </c>
      <c r="C526" t="s">
        <v>35</v>
      </c>
      <c r="D526" t="s">
        <v>36</v>
      </c>
      <c r="E526" t="s">
        <v>37</v>
      </c>
      <c r="F526" t="s">
        <v>71</v>
      </c>
      <c r="G526" t="s">
        <v>72</v>
      </c>
      <c r="H526">
        <v>0</v>
      </c>
      <c r="I526">
        <v>2</v>
      </c>
      <c r="J526" t="s">
        <v>20</v>
      </c>
      <c r="K526" t="s">
        <v>38</v>
      </c>
      <c r="L526" t="s">
        <v>22</v>
      </c>
      <c r="M526">
        <v>8</v>
      </c>
    </row>
    <row r="527" spans="1:13" x14ac:dyDescent="0.25">
      <c r="A527" t="s">
        <v>33</v>
      </c>
      <c r="B527" t="s">
        <v>34</v>
      </c>
      <c r="C527" t="s">
        <v>35</v>
      </c>
      <c r="D527" t="s">
        <v>36</v>
      </c>
      <c r="E527" t="s">
        <v>37</v>
      </c>
      <c r="F527" t="s">
        <v>31</v>
      </c>
      <c r="G527" t="s">
        <v>32</v>
      </c>
      <c r="H527">
        <v>0</v>
      </c>
      <c r="I527">
        <v>1</v>
      </c>
      <c r="J527" t="s">
        <v>20</v>
      </c>
      <c r="K527" t="s">
        <v>38</v>
      </c>
      <c r="L527" t="s">
        <v>22</v>
      </c>
      <c r="M527">
        <v>8</v>
      </c>
    </row>
    <row r="528" spans="1:13" x14ac:dyDescent="0.25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>
        <v>0</v>
      </c>
      <c r="I528">
        <v>1</v>
      </c>
      <c r="J528" t="s">
        <v>20</v>
      </c>
      <c r="K528" t="s">
        <v>21</v>
      </c>
      <c r="L528" t="s">
        <v>22</v>
      </c>
      <c r="M528">
        <v>43</v>
      </c>
    </row>
    <row r="529" spans="1:13" x14ac:dyDescent="0.25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23</v>
      </c>
      <c r="G529" t="s">
        <v>24</v>
      </c>
      <c r="H529">
        <v>0</v>
      </c>
      <c r="I529">
        <v>3</v>
      </c>
      <c r="J529" t="s">
        <v>20</v>
      </c>
      <c r="K529" t="s">
        <v>21</v>
      </c>
      <c r="L529" t="s">
        <v>22</v>
      </c>
      <c r="M529">
        <v>43</v>
      </c>
    </row>
    <row r="530" spans="1:13" x14ac:dyDescent="0.25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25</v>
      </c>
      <c r="G530" t="s">
        <v>26</v>
      </c>
      <c r="H530">
        <v>0</v>
      </c>
      <c r="I530">
        <v>1</v>
      </c>
      <c r="J530" t="s">
        <v>20</v>
      </c>
      <c r="K530" t="s">
        <v>21</v>
      </c>
      <c r="L530" t="s">
        <v>22</v>
      </c>
      <c r="M530">
        <v>43</v>
      </c>
    </row>
    <row r="531" spans="1:13" x14ac:dyDescent="0.25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27</v>
      </c>
      <c r="G531" t="s">
        <v>28</v>
      </c>
      <c r="H531">
        <v>0</v>
      </c>
      <c r="I531">
        <v>3</v>
      </c>
      <c r="J531" t="s">
        <v>20</v>
      </c>
      <c r="K531" t="s">
        <v>21</v>
      </c>
      <c r="L531" t="s">
        <v>22</v>
      </c>
      <c r="M531">
        <v>43</v>
      </c>
    </row>
    <row r="532" spans="1:13" x14ac:dyDescent="0.25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t="s">
        <v>29</v>
      </c>
      <c r="G532" t="s">
        <v>30</v>
      </c>
      <c r="H532">
        <v>5</v>
      </c>
      <c r="I532">
        <v>0</v>
      </c>
      <c r="J532" t="s">
        <v>20</v>
      </c>
      <c r="K532" t="s">
        <v>21</v>
      </c>
      <c r="L532" t="s">
        <v>22</v>
      </c>
      <c r="M532">
        <v>43</v>
      </c>
    </row>
    <row r="533" spans="1:13" x14ac:dyDescent="0.25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31</v>
      </c>
      <c r="G533" t="s">
        <v>32</v>
      </c>
      <c r="H533">
        <v>5</v>
      </c>
      <c r="I533">
        <v>0</v>
      </c>
      <c r="J533" t="s">
        <v>20</v>
      </c>
      <c r="K533" t="s">
        <v>21</v>
      </c>
      <c r="L533" t="s">
        <v>22</v>
      </c>
      <c r="M533">
        <v>43</v>
      </c>
    </row>
  </sheetData>
  <autoFilter ref="A1:M533" xr:uid="{00000000-0001-0000-0000-000000000000}">
    <sortState xmlns:xlrd2="http://schemas.microsoft.com/office/spreadsheetml/2017/richdata2" ref="A2:M533">
      <sortCondition ref="K1:K5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C846-BE0D-43EB-BEF0-045725D7C4CF}">
  <dimension ref="B1:AF66"/>
  <sheetViews>
    <sheetView zoomScale="70" zoomScaleNormal="70" workbookViewId="0">
      <selection activeCell="G5" sqref="G5:L31"/>
    </sheetView>
  </sheetViews>
  <sheetFormatPr defaultRowHeight="15" x14ac:dyDescent="0.25"/>
  <cols>
    <col min="5" max="5" width="14.42578125" bestFit="1" customWidth="1"/>
    <col min="6" max="6" width="13.5703125" bestFit="1" customWidth="1"/>
    <col min="7" max="7" width="24.7109375" bestFit="1" customWidth="1"/>
    <col min="8" max="8" width="19.7109375" bestFit="1" customWidth="1"/>
    <col min="9" max="9" width="22.85546875" bestFit="1" customWidth="1"/>
    <col min="10" max="10" width="23.42578125" customWidth="1"/>
    <col min="11" max="11" width="16.42578125" bestFit="1" customWidth="1"/>
    <col min="12" max="12" width="20.85546875" bestFit="1" customWidth="1"/>
    <col min="14" max="14" width="20.85546875" bestFit="1" customWidth="1"/>
    <col min="15" max="15" width="13.5703125" bestFit="1" customWidth="1"/>
    <col min="16" max="16" width="21.42578125" bestFit="1" customWidth="1"/>
    <col min="17" max="17" width="19.7109375" bestFit="1" customWidth="1"/>
    <col min="18" max="18" width="22.85546875" bestFit="1" customWidth="1"/>
    <col min="19" max="19" width="18.140625" bestFit="1" customWidth="1"/>
    <col min="20" max="20" width="8" customWidth="1"/>
    <col min="29" max="29" width="25.7109375" bestFit="1" customWidth="1"/>
    <col min="30" max="30" width="13.140625" bestFit="1" customWidth="1"/>
    <col min="31" max="31" width="14" bestFit="1" customWidth="1"/>
    <col min="32" max="32" width="14.7109375" customWidth="1"/>
    <col min="33" max="37" width="2" bestFit="1" customWidth="1"/>
    <col min="38" max="38" width="13.5703125" bestFit="1" customWidth="1"/>
  </cols>
  <sheetData>
    <row r="1" spans="2:32" ht="15.75" thickBot="1" x14ac:dyDescent="0.3"/>
    <row r="2" spans="2:32" ht="24" x14ac:dyDescent="0.25">
      <c r="E2" s="18" t="s">
        <v>374</v>
      </c>
      <c r="F2" s="6"/>
      <c r="G2" s="6"/>
      <c r="H2" s="6"/>
      <c r="I2" s="6"/>
      <c r="J2" s="6"/>
      <c r="K2" s="6"/>
      <c r="L2" s="7"/>
      <c r="N2" s="18" t="s">
        <v>374</v>
      </c>
      <c r="O2" s="6"/>
      <c r="P2" s="6"/>
      <c r="Q2" s="6"/>
      <c r="R2" s="6"/>
      <c r="S2" s="6"/>
      <c r="T2" s="7"/>
    </row>
    <row r="3" spans="2:32" ht="18.75" x14ac:dyDescent="0.25">
      <c r="E3" s="8"/>
      <c r="F3" s="16">
        <v>5</v>
      </c>
      <c r="G3" s="9"/>
      <c r="H3" s="9"/>
      <c r="I3" s="9"/>
      <c r="J3" s="9"/>
      <c r="K3" s="9"/>
      <c r="L3" s="10"/>
      <c r="N3" s="22" t="s">
        <v>385</v>
      </c>
      <c r="O3" s="16"/>
      <c r="P3" s="9"/>
      <c r="Q3" s="9"/>
      <c r="R3" s="9"/>
      <c r="S3" s="9"/>
      <c r="T3" s="10"/>
    </row>
    <row r="4" spans="2:32" ht="24" x14ac:dyDescent="0.25">
      <c r="B4" s="19" t="s">
        <v>382</v>
      </c>
      <c r="E4" s="8"/>
      <c r="F4" s="17">
        <f>SUM(G32:K32)</f>
        <v>833</v>
      </c>
      <c r="G4" s="9"/>
      <c r="H4" s="9"/>
      <c r="I4" s="9"/>
      <c r="J4" s="9"/>
      <c r="K4" s="9"/>
      <c r="L4" s="10"/>
      <c r="N4" s="8"/>
      <c r="O4" s="17"/>
      <c r="P4" s="9"/>
      <c r="Q4" s="9"/>
      <c r="R4" s="9"/>
      <c r="S4" s="9"/>
      <c r="T4" s="10"/>
      <c r="AC4" s="2" t="s">
        <v>376</v>
      </c>
      <c r="AD4" t="s">
        <v>378</v>
      </c>
      <c r="AE4" t="s">
        <v>379</v>
      </c>
    </row>
    <row r="5" spans="2:32" x14ac:dyDescent="0.25">
      <c r="B5" s="19"/>
      <c r="E5" s="8"/>
      <c r="F5" s="9"/>
      <c r="G5" s="14" t="s">
        <v>174</v>
      </c>
      <c r="H5" s="14" t="s">
        <v>14</v>
      </c>
      <c r="I5" s="14" t="s">
        <v>104</v>
      </c>
      <c r="J5" s="14" t="s">
        <v>216</v>
      </c>
      <c r="K5" s="14" t="s">
        <v>166</v>
      </c>
      <c r="L5" s="20" t="s">
        <v>383</v>
      </c>
      <c r="N5" s="8"/>
      <c r="O5" s="9"/>
      <c r="P5" s="14" t="s">
        <v>384</v>
      </c>
      <c r="Q5" s="14" t="s">
        <v>386</v>
      </c>
      <c r="R5" s="14" t="s">
        <v>387</v>
      </c>
      <c r="S5" s="14" t="s">
        <v>388</v>
      </c>
      <c r="T5" s="20"/>
      <c r="AC5" s="3" t="s">
        <v>34</v>
      </c>
      <c r="AD5" s="4">
        <v>83</v>
      </c>
      <c r="AE5" s="4">
        <v>146</v>
      </c>
      <c r="AF5">
        <f>AD5/10+AE5</f>
        <v>154.30000000000001</v>
      </c>
    </row>
    <row r="6" spans="2:32" x14ac:dyDescent="0.25">
      <c r="B6" s="19"/>
      <c r="E6" s="8"/>
      <c r="F6" s="9" t="s">
        <v>39</v>
      </c>
      <c r="G6" s="14">
        <f>SUMIFS(Recipe2!$H:$H,Recipe2!$B:$B,Hazırlık!G$5,Recipe2!$F:$F,Hazırlık!$F6)/10+SUMIFS(Recipe2!$I:$I,Recipe2!$B:$B,Hazırlık!G$5,Recipe2!$F:$F,Hazırlık!$F6)</f>
        <v>0</v>
      </c>
      <c r="H6" s="14">
        <f>SUMIFS(Recipe2!$H:$H,Recipe2!$B:$B,Hazırlık!H$5,Recipe2!$F:$F,Hazırlık!$F6)/10+SUMIFS(Recipe2!$I:$I,Recipe2!$B:$B,Hazırlık!H$5,Recipe2!$F:$F,Hazırlık!$F6)</f>
        <v>0.5</v>
      </c>
      <c r="I6" s="14">
        <f>SUMIFS(Recipe2!$H:$H,Recipe2!$B:$B,Hazırlık!I$5,Recipe2!$F:$F,Hazırlık!$F6)/10+SUMIFS(Recipe2!$I:$I,Recipe2!$B:$B,Hazırlık!I$5,Recipe2!$F:$F,Hazırlık!$F6)</f>
        <v>5</v>
      </c>
      <c r="J6" s="14">
        <f>SUMIFS(Recipe2!$H:$H,Recipe2!$B:$B,Hazırlık!J$5,Recipe2!$F:$F,Hazırlık!$F6)/10+SUMIFS(Recipe2!$I:$I,Recipe2!$B:$B,Hazırlık!J$5,Recipe2!$F:$F,Hazırlık!$F6)</f>
        <v>5</v>
      </c>
      <c r="K6" s="14">
        <f>SUMIFS(Recipe2!$H:$H,Recipe2!$B:$B,Hazırlık!K$5,Recipe2!$F:$F,Hazırlık!$F6)/10+SUMIFS(Recipe2!$I:$I,Recipe2!$B:$B,Hazırlık!K$5,Recipe2!$F:$F,Hazırlık!$F6)</f>
        <v>3.5</v>
      </c>
      <c r="L6" s="21">
        <f>SUM(G6:K6)</f>
        <v>14</v>
      </c>
      <c r="N6" s="8"/>
      <c r="O6" s="9" t="s">
        <v>39</v>
      </c>
      <c r="P6" s="14">
        <f>SUM(H6:K6)</f>
        <v>14</v>
      </c>
      <c r="Q6" s="14">
        <f>SUM(I6:K6)</f>
        <v>13.5</v>
      </c>
      <c r="R6" s="14">
        <f>SUM(J6:K6)</f>
        <v>8.5</v>
      </c>
      <c r="S6" s="14">
        <f>SUM(K6)</f>
        <v>3.5</v>
      </c>
      <c r="T6" s="20"/>
      <c r="AC6" s="3" t="s">
        <v>259</v>
      </c>
      <c r="AD6" s="4">
        <v>23</v>
      </c>
      <c r="AE6" s="4">
        <v>24</v>
      </c>
      <c r="AF6">
        <f t="shared" ref="AF6:AF19" si="0">AD6/10+AE6</f>
        <v>26.3</v>
      </c>
    </row>
    <row r="7" spans="2:32" x14ac:dyDescent="0.25">
      <c r="E7" s="8"/>
      <c r="F7" s="9" t="s">
        <v>61</v>
      </c>
      <c r="G7" s="14">
        <f>SUMIFS(Recipe2!$H:$H,Recipe2!$B:$B,Hazırlık!G$5,Recipe2!$F:$F,Hazırlık!$F7)/10+SUMIFS(Recipe2!$I:$I,Recipe2!$B:$B,Hazırlık!G$5,Recipe2!$F:$F,Hazırlık!$F7)</f>
        <v>0</v>
      </c>
      <c r="H7" s="14">
        <f>SUMIFS(Recipe2!$H:$H,Recipe2!$B:$B,Hazırlık!H$5,Recipe2!$F:$F,Hazırlık!$F7)/10+SUMIFS(Recipe2!$I:$I,Recipe2!$B:$B,Hazırlık!H$5,Recipe2!$F:$F,Hazırlık!$F7)</f>
        <v>0</v>
      </c>
      <c r="I7" s="14">
        <f>SUMIFS(Recipe2!$H:$H,Recipe2!$B:$B,Hazırlık!I$5,Recipe2!$F:$F,Hazırlık!$F7)/10+SUMIFS(Recipe2!$I:$I,Recipe2!$B:$B,Hazırlık!I$5,Recipe2!$F:$F,Hazırlık!$F7)</f>
        <v>2.5</v>
      </c>
      <c r="J7" s="14">
        <f>SUMIFS(Recipe2!$H:$H,Recipe2!$B:$B,Hazırlık!J$5,Recipe2!$F:$F,Hazırlık!$F7)/10+SUMIFS(Recipe2!$I:$I,Recipe2!$B:$B,Hazırlık!J$5,Recipe2!$F:$F,Hazırlık!$F7)</f>
        <v>7</v>
      </c>
      <c r="K7" s="14">
        <f>SUMIFS(Recipe2!$H:$H,Recipe2!$B:$B,Hazırlık!K$5,Recipe2!$F:$F,Hazırlık!$F7)/10+SUMIFS(Recipe2!$I:$I,Recipe2!$B:$B,Hazırlık!K$5,Recipe2!$F:$F,Hazırlık!$F7)</f>
        <v>4</v>
      </c>
      <c r="L7" s="21">
        <f t="shared" ref="L7:L31" si="1">SUM(G7:K7)</f>
        <v>13.5</v>
      </c>
      <c r="N7" s="8"/>
      <c r="O7" s="9" t="s">
        <v>61</v>
      </c>
      <c r="P7" s="14">
        <f t="shared" ref="P7:P31" si="2">SUM(H7:K7)</f>
        <v>13.5</v>
      </c>
      <c r="Q7" s="14">
        <f t="shared" ref="Q7:Q31" si="3">SUM(I7:K7)</f>
        <v>13.5</v>
      </c>
      <c r="R7" s="14">
        <f t="shared" ref="R7:R31" si="4">SUM(J7:K7)</f>
        <v>11</v>
      </c>
      <c r="S7" s="14">
        <f t="shared" ref="S7:S31" si="5">SUM(K7)</f>
        <v>4</v>
      </c>
      <c r="T7" s="20"/>
      <c r="AC7" s="3" t="s">
        <v>216</v>
      </c>
      <c r="AD7" s="4">
        <v>16</v>
      </c>
      <c r="AE7" s="4">
        <v>590</v>
      </c>
      <c r="AF7">
        <f t="shared" si="0"/>
        <v>591.6</v>
      </c>
    </row>
    <row r="8" spans="2:32" x14ac:dyDescent="0.25">
      <c r="E8" s="8"/>
      <c r="F8" s="9" t="s">
        <v>79</v>
      </c>
      <c r="G8" s="14">
        <f>SUMIFS(Recipe2!$H:$H,Recipe2!$B:$B,Hazırlık!G$5,Recipe2!$F:$F,Hazırlık!$F8)/10+SUMIFS(Recipe2!$I:$I,Recipe2!$B:$B,Hazırlık!G$5,Recipe2!$F:$F,Hazırlık!$F8)</f>
        <v>0</v>
      </c>
      <c r="H8" s="14">
        <f>SUMIFS(Recipe2!$H:$H,Recipe2!$B:$B,Hazırlık!H$5,Recipe2!$F:$F,Hazırlık!$F8)/10+SUMIFS(Recipe2!$I:$I,Recipe2!$B:$B,Hazırlık!H$5,Recipe2!$F:$F,Hazırlık!$F8)</f>
        <v>1.5</v>
      </c>
      <c r="I8" s="14">
        <f>SUMIFS(Recipe2!$H:$H,Recipe2!$B:$B,Hazırlık!I$5,Recipe2!$F:$F,Hazırlık!$F8)/10+SUMIFS(Recipe2!$I:$I,Recipe2!$B:$B,Hazırlık!I$5,Recipe2!$F:$F,Hazırlık!$F8)</f>
        <v>5.5</v>
      </c>
      <c r="J8" s="14">
        <f>SUMIFS(Recipe2!$H:$H,Recipe2!$B:$B,Hazırlık!J$5,Recipe2!$F:$F,Hazırlık!$F8)/10+SUMIFS(Recipe2!$I:$I,Recipe2!$B:$B,Hazırlık!J$5,Recipe2!$F:$F,Hazırlık!$F8)</f>
        <v>8.5</v>
      </c>
      <c r="K8" s="14">
        <f>SUMIFS(Recipe2!$H:$H,Recipe2!$B:$B,Hazırlık!K$5,Recipe2!$F:$F,Hazırlık!$F8)/10+SUMIFS(Recipe2!$I:$I,Recipe2!$B:$B,Hazırlık!K$5,Recipe2!$F:$F,Hazırlık!$F8)</f>
        <v>1</v>
      </c>
      <c r="L8" s="21">
        <f t="shared" si="1"/>
        <v>16.5</v>
      </c>
      <c r="N8" s="8"/>
      <c r="O8" s="9" t="s">
        <v>79</v>
      </c>
      <c r="P8" s="14">
        <f t="shared" si="2"/>
        <v>16.5</v>
      </c>
      <c r="Q8" s="14">
        <f t="shared" si="3"/>
        <v>15</v>
      </c>
      <c r="R8" s="14">
        <f t="shared" si="4"/>
        <v>9.5</v>
      </c>
      <c r="S8" s="14">
        <f t="shared" si="5"/>
        <v>1</v>
      </c>
      <c r="T8" s="20"/>
      <c r="AC8" s="3" t="s">
        <v>14</v>
      </c>
      <c r="AD8" s="4">
        <v>131</v>
      </c>
      <c r="AE8" s="4">
        <v>88</v>
      </c>
      <c r="AF8">
        <f t="shared" si="0"/>
        <v>101.1</v>
      </c>
    </row>
    <row r="9" spans="2:32" x14ac:dyDescent="0.25">
      <c r="E9" s="8"/>
      <c r="F9" s="9" t="s">
        <v>51</v>
      </c>
      <c r="G9" s="14">
        <f>SUMIFS(Recipe2!$H:$H,Recipe2!$B:$B,Hazırlık!G$5,Recipe2!$F:$F,Hazırlık!$F9)/10+SUMIFS(Recipe2!$I:$I,Recipe2!$B:$B,Hazırlık!G$5,Recipe2!$F:$F,Hazırlık!$F9)</f>
        <v>2</v>
      </c>
      <c r="H9" s="14">
        <f>SUMIFS(Recipe2!$H:$H,Recipe2!$B:$B,Hazırlık!H$5,Recipe2!$F:$F,Hazırlık!$F9)/10+SUMIFS(Recipe2!$I:$I,Recipe2!$B:$B,Hazırlık!H$5,Recipe2!$F:$F,Hazırlık!$F9)</f>
        <v>8</v>
      </c>
      <c r="I9" s="14">
        <f>SUMIFS(Recipe2!$H:$H,Recipe2!$B:$B,Hazırlık!I$5,Recipe2!$F:$F,Hazırlık!$F9)/10+SUMIFS(Recipe2!$I:$I,Recipe2!$B:$B,Hazırlık!I$5,Recipe2!$F:$F,Hazırlık!$F9)</f>
        <v>19</v>
      </c>
      <c r="J9" s="14">
        <f>SUMIFS(Recipe2!$H:$H,Recipe2!$B:$B,Hazırlık!J$5,Recipe2!$F:$F,Hazırlık!$F9)/10+SUMIFS(Recipe2!$I:$I,Recipe2!$B:$B,Hazırlık!J$5,Recipe2!$F:$F,Hazırlık!$F9)</f>
        <v>100</v>
      </c>
      <c r="K9" s="14">
        <f>SUMIFS(Recipe2!$H:$H,Recipe2!$B:$B,Hazırlık!K$5,Recipe2!$F:$F,Hazırlık!$F9)/10+SUMIFS(Recipe2!$I:$I,Recipe2!$B:$B,Hazırlık!K$5,Recipe2!$F:$F,Hazırlık!$F9)</f>
        <v>26</v>
      </c>
      <c r="L9" s="21">
        <f t="shared" si="1"/>
        <v>155</v>
      </c>
      <c r="N9" s="8"/>
      <c r="O9" s="9" t="s">
        <v>51</v>
      </c>
      <c r="P9" s="14">
        <f t="shared" si="2"/>
        <v>153</v>
      </c>
      <c r="Q9" s="14">
        <f t="shared" si="3"/>
        <v>145</v>
      </c>
      <c r="R9" s="14">
        <f t="shared" si="4"/>
        <v>126</v>
      </c>
      <c r="S9" s="14">
        <f t="shared" si="5"/>
        <v>26</v>
      </c>
      <c r="T9" s="20"/>
      <c r="AC9" s="3" t="s">
        <v>84</v>
      </c>
      <c r="AD9" s="4">
        <v>59</v>
      </c>
      <c r="AE9" s="4">
        <v>138</v>
      </c>
      <c r="AF9">
        <f t="shared" si="0"/>
        <v>143.9</v>
      </c>
    </row>
    <row r="10" spans="2:32" x14ac:dyDescent="0.25">
      <c r="E10" s="8"/>
      <c r="F10" s="9" t="s">
        <v>63</v>
      </c>
      <c r="G10" s="14">
        <f>SUMIFS(Recipe2!$H:$H,Recipe2!$B:$B,Hazırlık!G$5,Recipe2!$F:$F,Hazırlık!$F10)/10+SUMIFS(Recipe2!$I:$I,Recipe2!$B:$B,Hazırlık!G$5,Recipe2!$F:$F,Hazırlık!$F10)</f>
        <v>0</v>
      </c>
      <c r="H10" s="14">
        <f>SUMIFS(Recipe2!$H:$H,Recipe2!$B:$B,Hazırlık!H$5,Recipe2!$F:$F,Hazırlık!$F10)/10+SUMIFS(Recipe2!$I:$I,Recipe2!$B:$B,Hazırlık!H$5,Recipe2!$F:$F,Hazırlık!$F10)</f>
        <v>0</v>
      </c>
      <c r="I10" s="14">
        <f>SUMIFS(Recipe2!$H:$H,Recipe2!$B:$B,Hazırlık!I$5,Recipe2!$F:$F,Hazırlık!$F10)/10+SUMIFS(Recipe2!$I:$I,Recipe2!$B:$B,Hazırlık!I$5,Recipe2!$F:$F,Hazırlık!$F10)</f>
        <v>2.4</v>
      </c>
      <c r="J10" s="14">
        <f>SUMIFS(Recipe2!$H:$H,Recipe2!$B:$B,Hazırlık!J$5,Recipe2!$F:$F,Hazırlık!$F10)/10+SUMIFS(Recipe2!$I:$I,Recipe2!$B:$B,Hazırlık!J$5,Recipe2!$F:$F,Hazırlık!$F10)</f>
        <v>0</v>
      </c>
      <c r="K10" s="14">
        <f>SUMIFS(Recipe2!$H:$H,Recipe2!$B:$B,Hazırlık!K$5,Recipe2!$F:$F,Hazırlık!$F10)/10+SUMIFS(Recipe2!$I:$I,Recipe2!$B:$B,Hazırlık!K$5,Recipe2!$F:$F,Hazırlık!$F10)</f>
        <v>0</v>
      </c>
      <c r="L10" s="21">
        <f t="shared" si="1"/>
        <v>2.4</v>
      </c>
      <c r="N10" s="8"/>
      <c r="O10" s="9" t="s">
        <v>63</v>
      </c>
      <c r="P10" s="14">
        <f t="shared" si="2"/>
        <v>2.4</v>
      </c>
      <c r="Q10" s="14">
        <f t="shared" si="3"/>
        <v>2.4</v>
      </c>
      <c r="R10" s="14">
        <f t="shared" si="4"/>
        <v>0</v>
      </c>
      <c r="S10" s="14">
        <f t="shared" si="5"/>
        <v>0</v>
      </c>
      <c r="T10" s="20"/>
      <c r="AC10" s="3" t="s">
        <v>90</v>
      </c>
      <c r="AD10" s="4">
        <v>128</v>
      </c>
      <c r="AE10" s="4">
        <v>236</v>
      </c>
      <c r="AF10">
        <f t="shared" si="0"/>
        <v>248.8</v>
      </c>
    </row>
    <row r="11" spans="2:32" x14ac:dyDescent="0.25">
      <c r="E11" s="8"/>
      <c r="F11" s="9" t="s">
        <v>81</v>
      </c>
      <c r="G11" s="14">
        <f>SUMIFS(Recipe2!$H:$H,Recipe2!$B:$B,Hazırlık!G$5,Recipe2!$F:$F,Hazırlık!$F11)/10+SUMIFS(Recipe2!$I:$I,Recipe2!$B:$B,Hazırlık!G$5,Recipe2!$F:$F,Hazırlık!$F11)</f>
        <v>0</v>
      </c>
      <c r="H11" s="14">
        <f>SUMIFS(Recipe2!$H:$H,Recipe2!$B:$B,Hazırlık!H$5,Recipe2!$F:$F,Hazırlık!$F11)/10+SUMIFS(Recipe2!$I:$I,Recipe2!$B:$B,Hazırlık!H$5,Recipe2!$F:$F,Hazırlık!$F11)</f>
        <v>0</v>
      </c>
      <c r="I11" s="14">
        <f>SUMIFS(Recipe2!$H:$H,Recipe2!$B:$B,Hazırlık!I$5,Recipe2!$F:$F,Hazırlık!$F11)/10+SUMIFS(Recipe2!$I:$I,Recipe2!$B:$B,Hazırlık!I$5,Recipe2!$F:$F,Hazırlık!$F11)</f>
        <v>1</v>
      </c>
      <c r="J11" s="14">
        <f>SUMIFS(Recipe2!$H:$H,Recipe2!$B:$B,Hazırlık!J$5,Recipe2!$F:$F,Hazırlık!$F11)/10+SUMIFS(Recipe2!$I:$I,Recipe2!$B:$B,Hazırlık!J$5,Recipe2!$F:$F,Hazırlık!$F11)</f>
        <v>5</v>
      </c>
      <c r="K11" s="14">
        <f>SUMIFS(Recipe2!$H:$H,Recipe2!$B:$B,Hazırlık!K$5,Recipe2!$F:$F,Hazırlık!$F11)/10+SUMIFS(Recipe2!$I:$I,Recipe2!$B:$B,Hazırlık!K$5,Recipe2!$F:$F,Hazırlık!$F11)</f>
        <v>0</v>
      </c>
      <c r="L11" s="21">
        <f t="shared" si="1"/>
        <v>6</v>
      </c>
      <c r="N11" s="8"/>
      <c r="O11" s="9" t="s">
        <v>81</v>
      </c>
      <c r="P11" s="14">
        <f t="shared" si="2"/>
        <v>6</v>
      </c>
      <c r="Q11" s="14">
        <f t="shared" si="3"/>
        <v>6</v>
      </c>
      <c r="R11" s="14">
        <f t="shared" si="4"/>
        <v>5</v>
      </c>
      <c r="S11" s="14">
        <f t="shared" si="5"/>
        <v>0</v>
      </c>
      <c r="T11" s="20"/>
      <c r="AC11" s="3" t="s">
        <v>97</v>
      </c>
      <c r="AD11" s="4">
        <v>29</v>
      </c>
      <c r="AE11" s="4">
        <v>79</v>
      </c>
      <c r="AF11">
        <f t="shared" si="0"/>
        <v>81.900000000000006</v>
      </c>
    </row>
    <row r="12" spans="2:32" x14ac:dyDescent="0.25">
      <c r="E12" s="8"/>
      <c r="F12" s="9" t="s">
        <v>45</v>
      </c>
      <c r="G12" s="14">
        <f>SUMIFS(Recipe2!$H:$H,Recipe2!$B:$B,Hazırlık!G$5,Recipe2!$F:$F,Hazırlık!$F12)/10+SUMIFS(Recipe2!$I:$I,Recipe2!$B:$B,Hazırlık!G$5,Recipe2!$F:$F,Hazırlık!$F12)</f>
        <v>0</v>
      </c>
      <c r="H12" s="14">
        <f>SUMIFS(Recipe2!$H:$H,Recipe2!$B:$B,Hazırlık!H$5,Recipe2!$F:$F,Hazırlık!$F12)/10+SUMIFS(Recipe2!$I:$I,Recipe2!$B:$B,Hazırlık!H$5,Recipe2!$F:$F,Hazırlık!$F12)</f>
        <v>13</v>
      </c>
      <c r="I12" s="14">
        <f>SUMIFS(Recipe2!$H:$H,Recipe2!$B:$B,Hazırlık!I$5,Recipe2!$F:$F,Hazırlık!$F12)/10+SUMIFS(Recipe2!$I:$I,Recipe2!$B:$B,Hazırlık!I$5,Recipe2!$F:$F,Hazırlık!$F12)</f>
        <v>7</v>
      </c>
      <c r="J12" s="14">
        <f>SUMIFS(Recipe2!$H:$H,Recipe2!$B:$B,Hazırlık!J$5,Recipe2!$F:$F,Hazırlık!$F12)/10+SUMIFS(Recipe2!$I:$I,Recipe2!$B:$B,Hazırlık!J$5,Recipe2!$F:$F,Hazırlık!$F12)</f>
        <v>75</v>
      </c>
      <c r="K12" s="14">
        <f>SUMIFS(Recipe2!$H:$H,Recipe2!$B:$B,Hazırlık!K$5,Recipe2!$F:$F,Hazırlık!$F12)/10+SUMIFS(Recipe2!$I:$I,Recipe2!$B:$B,Hazırlık!K$5,Recipe2!$F:$F,Hazırlık!$F12)</f>
        <v>22</v>
      </c>
      <c r="L12" s="21">
        <f t="shared" si="1"/>
        <v>117</v>
      </c>
      <c r="N12" s="8"/>
      <c r="O12" s="9" t="s">
        <v>45</v>
      </c>
      <c r="P12" s="14">
        <f t="shared" si="2"/>
        <v>117</v>
      </c>
      <c r="Q12" s="14">
        <f t="shared" si="3"/>
        <v>104</v>
      </c>
      <c r="R12" s="14">
        <f t="shared" si="4"/>
        <v>97</v>
      </c>
      <c r="S12" s="14">
        <f t="shared" si="5"/>
        <v>22</v>
      </c>
      <c r="T12" s="20"/>
      <c r="AC12" s="3" t="s">
        <v>104</v>
      </c>
      <c r="AD12" s="4">
        <v>78</v>
      </c>
      <c r="AE12" s="4">
        <v>79</v>
      </c>
      <c r="AF12">
        <f t="shared" si="0"/>
        <v>86.8</v>
      </c>
    </row>
    <row r="13" spans="2:32" x14ac:dyDescent="0.25">
      <c r="D13" s="1"/>
      <c r="E13" s="8"/>
      <c r="F13" s="9" t="s">
        <v>71</v>
      </c>
      <c r="G13" s="14">
        <f>SUMIFS(Recipe2!$H:$H,Recipe2!$B:$B,Hazırlık!G$5,Recipe2!$F:$F,Hazırlık!$F13)/10+SUMIFS(Recipe2!$I:$I,Recipe2!$B:$B,Hazırlık!G$5,Recipe2!$F:$F,Hazırlık!$F13)</f>
        <v>0</v>
      </c>
      <c r="H13" s="14">
        <f>SUMIFS(Recipe2!$H:$H,Recipe2!$B:$B,Hazırlık!H$5,Recipe2!$F:$F,Hazırlık!$F13)/10+SUMIFS(Recipe2!$I:$I,Recipe2!$B:$B,Hazırlık!H$5,Recipe2!$F:$F,Hazırlık!$F13)</f>
        <v>2.5</v>
      </c>
      <c r="I13" s="14">
        <f>SUMIFS(Recipe2!$H:$H,Recipe2!$B:$B,Hazırlık!I$5,Recipe2!$F:$F,Hazırlık!$F13)/10+SUMIFS(Recipe2!$I:$I,Recipe2!$B:$B,Hazırlık!I$5,Recipe2!$F:$F,Hazırlık!$F13)</f>
        <v>1</v>
      </c>
      <c r="J13" s="14">
        <f>SUMIFS(Recipe2!$H:$H,Recipe2!$B:$B,Hazırlık!J$5,Recipe2!$F:$F,Hazırlık!$F13)/10+SUMIFS(Recipe2!$I:$I,Recipe2!$B:$B,Hazırlık!J$5,Recipe2!$F:$F,Hazırlık!$F13)</f>
        <v>40</v>
      </c>
      <c r="K13" s="14">
        <f>SUMIFS(Recipe2!$H:$H,Recipe2!$B:$B,Hazırlık!K$5,Recipe2!$F:$F,Hazırlık!$F13)/10+SUMIFS(Recipe2!$I:$I,Recipe2!$B:$B,Hazırlık!K$5,Recipe2!$F:$F,Hazırlık!$F13)</f>
        <v>8</v>
      </c>
      <c r="L13" s="21">
        <f t="shared" si="1"/>
        <v>51.5</v>
      </c>
      <c r="N13" s="8"/>
      <c r="O13" s="9" t="s">
        <v>71</v>
      </c>
      <c r="P13" s="14">
        <f t="shared" si="2"/>
        <v>51.5</v>
      </c>
      <c r="Q13" s="14">
        <f t="shared" si="3"/>
        <v>49</v>
      </c>
      <c r="R13" s="14">
        <f t="shared" si="4"/>
        <v>48</v>
      </c>
      <c r="S13" s="14">
        <f t="shared" si="5"/>
        <v>8</v>
      </c>
      <c r="T13" s="20"/>
      <c r="AC13" s="3" t="s">
        <v>121</v>
      </c>
      <c r="AD13" s="4">
        <v>172</v>
      </c>
      <c r="AE13" s="4">
        <v>269</v>
      </c>
      <c r="AF13">
        <f t="shared" si="0"/>
        <v>286.2</v>
      </c>
    </row>
    <row r="14" spans="2:32" x14ac:dyDescent="0.25">
      <c r="E14" s="8"/>
      <c r="F14" s="9" t="s">
        <v>59</v>
      </c>
      <c r="G14" s="14">
        <f>SUMIFS(Recipe2!$H:$H,Recipe2!$B:$B,Hazırlık!G$5,Recipe2!$F:$F,Hazırlık!$F14)/10+SUMIFS(Recipe2!$I:$I,Recipe2!$B:$B,Hazırlık!G$5,Recipe2!$F:$F,Hazırlık!$F14)</f>
        <v>0</v>
      </c>
      <c r="H14" s="14">
        <f>SUMIFS(Recipe2!$H:$H,Recipe2!$B:$B,Hazırlık!H$5,Recipe2!$F:$F,Hazırlık!$F14)/10+SUMIFS(Recipe2!$I:$I,Recipe2!$B:$B,Hazırlık!H$5,Recipe2!$F:$F,Hazırlık!$F14)</f>
        <v>6</v>
      </c>
      <c r="I14" s="14">
        <f>SUMIFS(Recipe2!$H:$H,Recipe2!$B:$B,Hazırlık!I$5,Recipe2!$F:$F,Hazırlık!$F14)/10+SUMIFS(Recipe2!$I:$I,Recipe2!$B:$B,Hazırlık!I$5,Recipe2!$F:$F,Hazırlık!$F14)</f>
        <v>11</v>
      </c>
      <c r="J14" s="14">
        <f>SUMIFS(Recipe2!$H:$H,Recipe2!$B:$B,Hazırlık!J$5,Recipe2!$F:$F,Hazırlık!$F14)/10+SUMIFS(Recipe2!$I:$I,Recipe2!$B:$B,Hazırlık!J$5,Recipe2!$F:$F,Hazırlık!$F14)</f>
        <v>70</v>
      </c>
      <c r="K14" s="14">
        <f>SUMIFS(Recipe2!$H:$H,Recipe2!$B:$B,Hazırlık!K$5,Recipe2!$F:$F,Hazırlık!$F14)/10+SUMIFS(Recipe2!$I:$I,Recipe2!$B:$B,Hazırlık!K$5,Recipe2!$F:$F,Hazırlık!$F14)</f>
        <v>20</v>
      </c>
      <c r="L14" s="21">
        <f t="shared" si="1"/>
        <v>107</v>
      </c>
      <c r="N14" s="8"/>
      <c r="O14" s="9" t="s">
        <v>59</v>
      </c>
      <c r="P14" s="14">
        <f t="shared" si="2"/>
        <v>107</v>
      </c>
      <c r="Q14" s="14">
        <f t="shared" si="3"/>
        <v>101</v>
      </c>
      <c r="R14" s="14">
        <f t="shared" si="4"/>
        <v>90</v>
      </c>
      <c r="S14" s="14">
        <f t="shared" si="5"/>
        <v>20</v>
      </c>
      <c r="T14" s="20"/>
      <c r="AC14" s="3" t="s">
        <v>153</v>
      </c>
      <c r="AD14" s="4">
        <v>14</v>
      </c>
      <c r="AE14" s="4">
        <v>188</v>
      </c>
      <c r="AF14">
        <f t="shared" si="0"/>
        <v>189.4</v>
      </c>
    </row>
    <row r="15" spans="2:32" x14ac:dyDescent="0.25">
      <c r="E15" s="8"/>
      <c r="F15" s="9" t="s">
        <v>69</v>
      </c>
      <c r="G15" s="14">
        <f>SUMIFS(Recipe2!$H:$H,Recipe2!$B:$B,Hazırlık!G$5,Recipe2!$F:$F,Hazırlık!$F15)/10+SUMIFS(Recipe2!$I:$I,Recipe2!$B:$B,Hazırlık!G$5,Recipe2!$F:$F,Hazırlık!$F15)</f>
        <v>0</v>
      </c>
      <c r="H15" s="14">
        <f>SUMIFS(Recipe2!$H:$H,Recipe2!$B:$B,Hazırlık!H$5,Recipe2!$F:$F,Hazırlık!$F15)/10+SUMIFS(Recipe2!$I:$I,Recipe2!$B:$B,Hazırlık!H$5,Recipe2!$F:$F,Hazırlık!$F15)</f>
        <v>0</v>
      </c>
      <c r="I15" s="14">
        <f>SUMIFS(Recipe2!$H:$H,Recipe2!$B:$B,Hazırlık!I$5,Recipe2!$F:$F,Hazırlık!$F15)/10+SUMIFS(Recipe2!$I:$I,Recipe2!$B:$B,Hazırlık!I$5,Recipe2!$F:$F,Hazırlık!$F15)</f>
        <v>1.4</v>
      </c>
      <c r="J15" s="14">
        <f>SUMIFS(Recipe2!$H:$H,Recipe2!$B:$B,Hazırlık!J$5,Recipe2!$F:$F,Hazırlık!$F15)/10+SUMIFS(Recipe2!$I:$I,Recipe2!$B:$B,Hazırlık!J$5,Recipe2!$F:$F,Hazırlık!$F15)</f>
        <v>5.6</v>
      </c>
      <c r="K15" s="14">
        <f>SUMIFS(Recipe2!$H:$H,Recipe2!$B:$B,Hazırlık!K$5,Recipe2!$F:$F,Hazırlık!$F15)/10+SUMIFS(Recipe2!$I:$I,Recipe2!$B:$B,Hazırlık!K$5,Recipe2!$F:$F,Hazırlık!$F15)</f>
        <v>1</v>
      </c>
      <c r="L15" s="21">
        <f t="shared" si="1"/>
        <v>8</v>
      </c>
      <c r="N15" s="8"/>
      <c r="O15" s="9" t="s">
        <v>69</v>
      </c>
      <c r="P15" s="14">
        <f t="shared" si="2"/>
        <v>8</v>
      </c>
      <c r="Q15" s="14">
        <f t="shared" si="3"/>
        <v>8</v>
      </c>
      <c r="R15" s="14">
        <f t="shared" si="4"/>
        <v>6.6</v>
      </c>
      <c r="S15" s="14">
        <f t="shared" si="5"/>
        <v>1</v>
      </c>
      <c r="T15" s="20"/>
      <c r="AC15" s="3" t="s">
        <v>174</v>
      </c>
      <c r="AD15" s="4">
        <v>16</v>
      </c>
      <c r="AE15" s="4">
        <v>15</v>
      </c>
      <c r="AF15">
        <f t="shared" si="0"/>
        <v>16.600000000000001</v>
      </c>
    </row>
    <row r="16" spans="2:32" x14ac:dyDescent="0.25">
      <c r="E16" s="8"/>
      <c r="F16" s="9" t="s">
        <v>65</v>
      </c>
      <c r="G16" s="14">
        <f>SUMIFS(Recipe2!$H:$H,Recipe2!$B:$B,Hazırlık!G$5,Recipe2!$F:$F,Hazırlık!$F16)/10+SUMIFS(Recipe2!$I:$I,Recipe2!$B:$B,Hazırlık!G$5,Recipe2!$F:$F,Hazırlık!$F16)</f>
        <v>2</v>
      </c>
      <c r="H16" s="14">
        <f>SUMIFS(Recipe2!$H:$H,Recipe2!$B:$B,Hazırlık!H$5,Recipe2!$F:$F,Hazırlık!$F16)/10+SUMIFS(Recipe2!$I:$I,Recipe2!$B:$B,Hazırlık!H$5,Recipe2!$F:$F,Hazırlık!$F16)</f>
        <v>13</v>
      </c>
      <c r="I16" s="14">
        <f>SUMIFS(Recipe2!$H:$H,Recipe2!$B:$B,Hazırlık!I$5,Recipe2!$F:$F,Hazırlık!$F16)/10+SUMIFS(Recipe2!$I:$I,Recipe2!$B:$B,Hazırlık!I$5,Recipe2!$F:$F,Hazırlık!$F16)</f>
        <v>11</v>
      </c>
      <c r="J16" s="14">
        <f>SUMIFS(Recipe2!$H:$H,Recipe2!$B:$B,Hazırlık!J$5,Recipe2!$F:$F,Hazırlık!$F16)/10+SUMIFS(Recipe2!$I:$I,Recipe2!$B:$B,Hazırlık!J$5,Recipe2!$F:$F,Hazırlık!$F16)</f>
        <v>115</v>
      </c>
      <c r="K16" s="14">
        <f>SUMIFS(Recipe2!$H:$H,Recipe2!$B:$B,Hazırlık!K$5,Recipe2!$F:$F,Hazırlık!$F16)/10+SUMIFS(Recipe2!$I:$I,Recipe2!$B:$B,Hazırlık!K$5,Recipe2!$F:$F,Hazırlık!$F16)</f>
        <v>43</v>
      </c>
      <c r="L16" s="21">
        <f t="shared" si="1"/>
        <v>184</v>
      </c>
      <c r="N16" s="8"/>
      <c r="O16" s="9" t="s">
        <v>65</v>
      </c>
      <c r="P16" s="14">
        <f t="shared" si="2"/>
        <v>182</v>
      </c>
      <c r="Q16" s="14">
        <f t="shared" si="3"/>
        <v>169</v>
      </c>
      <c r="R16" s="14">
        <f t="shared" si="4"/>
        <v>158</v>
      </c>
      <c r="S16" s="14">
        <f t="shared" si="5"/>
        <v>43</v>
      </c>
      <c r="T16" s="20"/>
      <c r="AC16" s="3" t="s">
        <v>183</v>
      </c>
      <c r="AD16" s="4">
        <v>70</v>
      </c>
      <c r="AE16" s="4">
        <v>51</v>
      </c>
      <c r="AF16">
        <f t="shared" si="0"/>
        <v>58</v>
      </c>
    </row>
    <row r="17" spans="5:32" x14ac:dyDescent="0.25">
      <c r="E17" s="8"/>
      <c r="F17" s="9" t="s">
        <v>43</v>
      </c>
      <c r="G17" s="14">
        <f>SUMIFS(Recipe2!$H:$H,Recipe2!$B:$B,Hazırlık!G$5,Recipe2!$F:$F,Hazırlık!$F17)/10+SUMIFS(Recipe2!$I:$I,Recipe2!$B:$B,Hazırlık!G$5,Recipe2!$F:$F,Hazırlık!$F17)</f>
        <v>0</v>
      </c>
      <c r="H17" s="14">
        <f>SUMIFS(Recipe2!$H:$H,Recipe2!$B:$B,Hazırlık!H$5,Recipe2!$F:$F,Hazırlık!$F17)/10+SUMIFS(Recipe2!$I:$I,Recipe2!$B:$B,Hazırlık!H$5,Recipe2!$F:$F,Hazırlık!$F17)</f>
        <v>0</v>
      </c>
      <c r="I17" s="14">
        <f>SUMIFS(Recipe2!$H:$H,Recipe2!$B:$B,Hazırlık!I$5,Recipe2!$F:$F,Hazırlık!$F17)/10+SUMIFS(Recipe2!$I:$I,Recipe2!$B:$B,Hazırlık!I$5,Recipe2!$F:$F,Hazırlık!$F17)</f>
        <v>0</v>
      </c>
      <c r="J17" s="14">
        <f>SUMIFS(Recipe2!$H:$H,Recipe2!$B:$B,Hazırlık!J$5,Recipe2!$F:$F,Hazırlık!$F17)/10+SUMIFS(Recipe2!$I:$I,Recipe2!$B:$B,Hazırlık!J$5,Recipe2!$F:$F,Hazırlık!$F17)</f>
        <v>7</v>
      </c>
      <c r="K17" s="14">
        <f>SUMIFS(Recipe2!$H:$H,Recipe2!$B:$B,Hazırlık!K$5,Recipe2!$F:$F,Hazırlık!$F17)/10+SUMIFS(Recipe2!$I:$I,Recipe2!$B:$B,Hazırlık!K$5,Recipe2!$F:$F,Hazırlık!$F17)</f>
        <v>1</v>
      </c>
      <c r="L17" s="21">
        <f t="shared" si="1"/>
        <v>8</v>
      </c>
      <c r="N17" s="8"/>
      <c r="O17" s="9" t="s">
        <v>43</v>
      </c>
      <c r="P17" s="14">
        <f t="shared" si="2"/>
        <v>8</v>
      </c>
      <c r="Q17" s="14">
        <f t="shared" si="3"/>
        <v>8</v>
      </c>
      <c r="R17" s="14">
        <f t="shared" si="4"/>
        <v>8</v>
      </c>
      <c r="S17" s="14">
        <f t="shared" si="5"/>
        <v>1</v>
      </c>
      <c r="T17" s="20"/>
      <c r="AC17" s="3" t="s">
        <v>166</v>
      </c>
      <c r="AD17" s="4">
        <v>14</v>
      </c>
      <c r="AE17" s="4">
        <v>153</v>
      </c>
      <c r="AF17">
        <f t="shared" si="0"/>
        <v>154.4</v>
      </c>
    </row>
    <row r="18" spans="5:32" x14ac:dyDescent="0.25">
      <c r="E18" s="8"/>
      <c r="F18" s="9" t="s">
        <v>53</v>
      </c>
      <c r="G18" s="14">
        <f>SUMIFS(Recipe2!$H:$H,Recipe2!$B:$B,Hazırlık!G$5,Recipe2!$F:$F,Hazırlık!$F18)/10+SUMIFS(Recipe2!$I:$I,Recipe2!$B:$B,Hazırlık!G$5,Recipe2!$F:$F,Hazırlık!$F18)</f>
        <v>0</v>
      </c>
      <c r="H18" s="14">
        <f>SUMIFS(Recipe2!$H:$H,Recipe2!$B:$B,Hazırlık!H$5,Recipe2!$F:$F,Hazırlık!$F18)/10+SUMIFS(Recipe2!$I:$I,Recipe2!$B:$B,Hazırlık!H$5,Recipe2!$F:$F,Hazırlık!$F18)</f>
        <v>0</v>
      </c>
      <c r="I18" s="14">
        <f>SUMIFS(Recipe2!$H:$H,Recipe2!$B:$B,Hazırlık!I$5,Recipe2!$F:$F,Hazırlık!$F18)/10+SUMIFS(Recipe2!$I:$I,Recipe2!$B:$B,Hazırlık!I$5,Recipe2!$F:$F,Hazırlık!$F18)</f>
        <v>1</v>
      </c>
      <c r="J18" s="14">
        <f>SUMIFS(Recipe2!$H:$H,Recipe2!$B:$B,Hazırlık!J$5,Recipe2!$F:$F,Hazırlık!$F18)/10+SUMIFS(Recipe2!$I:$I,Recipe2!$B:$B,Hazırlık!J$5,Recipe2!$F:$F,Hazırlık!$F18)</f>
        <v>10</v>
      </c>
      <c r="K18" s="14">
        <f>SUMIFS(Recipe2!$H:$H,Recipe2!$B:$B,Hazırlık!K$5,Recipe2!$F:$F,Hazırlık!$F18)/10+SUMIFS(Recipe2!$I:$I,Recipe2!$B:$B,Hazırlık!K$5,Recipe2!$F:$F,Hazırlık!$F18)</f>
        <v>2</v>
      </c>
      <c r="L18" s="21">
        <f t="shared" si="1"/>
        <v>13</v>
      </c>
      <c r="N18" s="8"/>
      <c r="O18" s="9" t="s">
        <v>53</v>
      </c>
      <c r="P18" s="14">
        <f t="shared" si="2"/>
        <v>13</v>
      </c>
      <c r="Q18" s="14">
        <f t="shared" si="3"/>
        <v>13</v>
      </c>
      <c r="R18" s="14">
        <f t="shared" si="4"/>
        <v>12</v>
      </c>
      <c r="S18" s="14">
        <f t="shared" si="5"/>
        <v>2</v>
      </c>
      <c r="T18" s="20"/>
      <c r="AC18" s="3" t="s">
        <v>74</v>
      </c>
      <c r="AD18" s="4">
        <v>15</v>
      </c>
      <c r="AE18" s="4">
        <v>76</v>
      </c>
      <c r="AF18">
        <f t="shared" si="0"/>
        <v>77.5</v>
      </c>
    </row>
    <row r="19" spans="5:32" x14ac:dyDescent="0.25">
      <c r="E19" s="8"/>
      <c r="F19" s="9" t="s">
        <v>49</v>
      </c>
      <c r="G19" s="14">
        <f>SUMIFS(Recipe2!$H:$H,Recipe2!$B:$B,Hazırlık!G$5,Recipe2!$F:$F,Hazırlık!$F19)/10+SUMIFS(Recipe2!$I:$I,Recipe2!$B:$B,Hazırlık!G$5,Recipe2!$F:$F,Hazırlık!$F19)</f>
        <v>0</v>
      </c>
      <c r="H19" s="14">
        <f>SUMIFS(Recipe2!$H:$H,Recipe2!$B:$B,Hazırlık!H$5,Recipe2!$F:$F,Hazırlık!$F19)/10+SUMIFS(Recipe2!$I:$I,Recipe2!$B:$B,Hazırlık!H$5,Recipe2!$F:$F,Hazırlık!$F19)</f>
        <v>0</v>
      </c>
      <c r="I19" s="14">
        <f>SUMIFS(Recipe2!$H:$H,Recipe2!$B:$B,Hazırlık!I$5,Recipe2!$F:$F,Hazırlık!$F19)/10+SUMIFS(Recipe2!$I:$I,Recipe2!$B:$B,Hazırlık!I$5,Recipe2!$F:$F,Hazırlık!$F19)</f>
        <v>2</v>
      </c>
      <c r="J19" s="14">
        <f>SUMIFS(Recipe2!$H:$H,Recipe2!$B:$B,Hazırlık!J$5,Recipe2!$F:$F,Hazırlık!$F19)/10+SUMIFS(Recipe2!$I:$I,Recipe2!$B:$B,Hazırlık!J$5,Recipe2!$F:$F,Hazırlık!$F19)</f>
        <v>5</v>
      </c>
      <c r="K19" s="14">
        <f>SUMIFS(Recipe2!$H:$H,Recipe2!$B:$B,Hazırlık!K$5,Recipe2!$F:$F,Hazırlık!$F19)/10+SUMIFS(Recipe2!$I:$I,Recipe2!$B:$B,Hazırlık!K$5,Recipe2!$F:$F,Hazırlık!$F19)</f>
        <v>1</v>
      </c>
      <c r="L19" s="21">
        <f t="shared" si="1"/>
        <v>8</v>
      </c>
      <c r="N19" s="8"/>
      <c r="O19" s="9" t="s">
        <v>49</v>
      </c>
      <c r="P19" s="14">
        <f t="shared" si="2"/>
        <v>8</v>
      </c>
      <c r="Q19" s="14">
        <f t="shared" si="3"/>
        <v>8</v>
      </c>
      <c r="R19" s="14">
        <f t="shared" si="4"/>
        <v>6</v>
      </c>
      <c r="S19" s="14">
        <f t="shared" si="5"/>
        <v>1</v>
      </c>
      <c r="T19" s="20"/>
      <c r="AC19" s="3" t="s">
        <v>377</v>
      </c>
      <c r="AD19" s="4">
        <v>848</v>
      </c>
      <c r="AE19" s="4">
        <v>2132</v>
      </c>
      <c r="AF19">
        <f t="shared" si="0"/>
        <v>2216.8000000000002</v>
      </c>
    </row>
    <row r="20" spans="5:32" x14ac:dyDescent="0.25">
      <c r="E20" s="8"/>
      <c r="F20" s="9" t="s">
        <v>18</v>
      </c>
      <c r="G20" s="14">
        <f>SUMIFS(Recipe2!$H:$H,Recipe2!$B:$B,Hazırlık!G$5,Recipe2!$F:$F,Hazırlık!$F20)/10+SUMIFS(Recipe2!$I:$I,Recipe2!$B:$B,Hazırlık!G$5,Recipe2!$F:$F,Hazırlık!$F20)</f>
        <v>0</v>
      </c>
      <c r="H20" s="14">
        <f>SUMIFS(Recipe2!$H:$H,Recipe2!$B:$B,Hazırlık!H$5,Recipe2!$F:$F,Hazırlık!$F20)/10+SUMIFS(Recipe2!$I:$I,Recipe2!$B:$B,Hazırlık!H$5,Recipe2!$F:$F,Hazırlık!$F20)</f>
        <v>4</v>
      </c>
      <c r="I20" s="14">
        <f>SUMIFS(Recipe2!$H:$H,Recipe2!$B:$B,Hazırlık!I$5,Recipe2!$F:$F,Hazırlık!$F20)/10+SUMIFS(Recipe2!$I:$I,Recipe2!$B:$B,Hazırlık!I$5,Recipe2!$F:$F,Hazırlık!$F20)</f>
        <v>4</v>
      </c>
      <c r="J20" s="14">
        <f>SUMIFS(Recipe2!$H:$H,Recipe2!$B:$B,Hazırlık!J$5,Recipe2!$F:$F,Hazırlık!$F20)/10+SUMIFS(Recipe2!$I:$I,Recipe2!$B:$B,Hazırlık!J$5,Recipe2!$F:$F,Hazırlık!$F20)</f>
        <v>15</v>
      </c>
      <c r="K20" s="14">
        <f>SUMIFS(Recipe2!$H:$H,Recipe2!$B:$B,Hazırlık!K$5,Recipe2!$F:$F,Hazırlık!$F20)/10+SUMIFS(Recipe2!$I:$I,Recipe2!$B:$B,Hazırlık!K$5,Recipe2!$F:$F,Hazırlık!$F20)</f>
        <v>9</v>
      </c>
      <c r="L20" s="21">
        <f t="shared" si="1"/>
        <v>32</v>
      </c>
      <c r="N20" s="8"/>
      <c r="O20" s="9" t="s">
        <v>18</v>
      </c>
      <c r="P20" s="14">
        <f t="shared" si="2"/>
        <v>32</v>
      </c>
      <c r="Q20" s="14">
        <f t="shared" si="3"/>
        <v>28</v>
      </c>
      <c r="R20" s="14">
        <f t="shared" si="4"/>
        <v>24</v>
      </c>
      <c r="S20" s="14">
        <f t="shared" si="5"/>
        <v>9</v>
      </c>
      <c r="T20" s="20"/>
    </row>
    <row r="21" spans="5:32" x14ac:dyDescent="0.25">
      <c r="E21" s="8"/>
      <c r="F21" s="9" t="s">
        <v>23</v>
      </c>
      <c r="G21" s="14">
        <f>SUMIFS(Recipe2!$H:$H,Recipe2!$B:$B,Hazırlık!G$5,Recipe2!$F:$F,Hazırlık!$F21)/10+SUMIFS(Recipe2!$I:$I,Recipe2!$B:$B,Hazırlık!G$5,Recipe2!$F:$F,Hazırlık!$F21)</f>
        <v>0</v>
      </c>
      <c r="H21" s="14">
        <f>SUMIFS(Recipe2!$H:$H,Recipe2!$B:$B,Hazırlık!H$5,Recipe2!$F:$F,Hazırlık!$F21)/10+SUMIFS(Recipe2!$I:$I,Recipe2!$B:$B,Hazırlık!H$5,Recipe2!$F:$F,Hazırlık!$F21)</f>
        <v>5.5</v>
      </c>
      <c r="I21" s="14">
        <f>SUMIFS(Recipe2!$H:$H,Recipe2!$B:$B,Hazırlık!I$5,Recipe2!$F:$F,Hazırlık!$F21)/10+SUMIFS(Recipe2!$I:$I,Recipe2!$B:$B,Hazırlık!I$5,Recipe2!$F:$F,Hazırlık!$F21)</f>
        <v>0.5</v>
      </c>
      <c r="J21" s="14">
        <f>SUMIFS(Recipe2!$H:$H,Recipe2!$B:$B,Hazırlık!J$5,Recipe2!$F:$F,Hazırlık!$F21)/10+SUMIFS(Recipe2!$I:$I,Recipe2!$B:$B,Hazırlık!J$5,Recipe2!$F:$F,Hazırlık!$F21)</f>
        <v>5</v>
      </c>
      <c r="K21" s="14">
        <f>SUMIFS(Recipe2!$H:$H,Recipe2!$B:$B,Hazırlık!K$5,Recipe2!$F:$F,Hazırlık!$F21)/10+SUMIFS(Recipe2!$I:$I,Recipe2!$B:$B,Hazırlık!K$5,Recipe2!$F:$F,Hazırlık!$F21)</f>
        <v>1</v>
      </c>
      <c r="L21" s="21">
        <f t="shared" si="1"/>
        <v>12</v>
      </c>
      <c r="N21" s="8"/>
      <c r="O21" s="9" t="s">
        <v>23</v>
      </c>
      <c r="P21" s="14">
        <f t="shared" si="2"/>
        <v>12</v>
      </c>
      <c r="Q21" s="14">
        <f t="shared" si="3"/>
        <v>6.5</v>
      </c>
      <c r="R21" s="14">
        <f t="shared" si="4"/>
        <v>6</v>
      </c>
      <c r="S21" s="14">
        <f t="shared" si="5"/>
        <v>1</v>
      </c>
      <c r="T21" s="20"/>
    </row>
    <row r="22" spans="5:32" x14ac:dyDescent="0.25">
      <c r="E22" s="8"/>
      <c r="F22" s="9" t="s">
        <v>27</v>
      </c>
      <c r="G22" s="14">
        <f>SUMIFS(Recipe2!$H:$H,Recipe2!$B:$B,Hazırlık!G$5,Recipe2!$F:$F,Hazırlık!$F22)/10+SUMIFS(Recipe2!$I:$I,Recipe2!$B:$B,Hazırlık!G$5,Recipe2!$F:$F,Hazırlık!$F22)</f>
        <v>0</v>
      </c>
      <c r="H22" s="14">
        <f>SUMIFS(Recipe2!$H:$H,Recipe2!$B:$B,Hazırlık!H$5,Recipe2!$F:$F,Hazırlık!$F22)/10+SUMIFS(Recipe2!$I:$I,Recipe2!$B:$B,Hazırlık!H$5,Recipe2!$F:$F,Hazırlık!$F22)</f>
        <v>5.5</v>
      </c>
      <c r="I22" s="14">
        <f>SUMIFS(Recipe2!$H:$H,Recipe2!$B:$B,Hazırlık!I$5,Recipe2!$F:$F,Hazırlık!$F22)/10+SUMIFS(Recipe2!$I:$I,Recipe2!$B:$B,Hazırlık!I$5,Recipe2!$F:$F,Hazırlık!$F22)</f>
        <v>0.5</v>
      </c>
      <c r="J22" s="14">
        <f>SUMIFS(Recipe2!$H:$H,Recipe2!$B:$B,Hazırlık!J$5,Recipe2!$F:$F,Hazırlık!$F22)/10+SUMIFS(Recipe2!$I:$I,Recipe2!$B:$B,Hazırlık!J$5,Recipe2!$F:$F,Hazırlık!$F22)</f>
        <v>0</v>
      </c>
      <c r="K22" s="14">
        <f>SUMIFS(Recipe2!$H:$H,Recipe2!$B:$B,Hazırlık!K$5,Recipe2!$F:$F,Hazırlık!$F22)/10+SUMIFS(Recipe2!$I:$I,Recipe2!$B:$B,Hazırlık!K$5,Recipe2!$F:$F,Hazırlık!$F22)</f>
        <v>3</v>
      </c>
      <c r="L22" s="21">
        <f t="shared" si="1"/>
        <v>9</v>
      </c>
      <c r="N22" s="8"/>
      <c r="O22" s="9" t="s">
        <v>27</v>
      </c>
      <c r="P22" s="14">
        <f t="shared" si="2"/>
        <v>9</v>
      </c>
      <c r="Q22" s="14">
        <f t="shared" si="3"/>
        <v>3.5</v>
      </c>
      <c r="R22" s="14">
        <f t="shared" si="4"/>
        <v>3</v>
      </c>
      <c r="S22" s="14">
        <f t="shared" si="5"/>
        <v>3</v>
      </c>
      <c r="T22" s="20"/>
    </row>
    <row r="23" spans="5:32" x14ac:dyDescent="0.25">
      <c r="E23" s="8"/>
      <c r="F23" s="9" t="s">
        <v>55</v>
      </c>
      <c r="G23" s="14">
        <f>SUMIFS(Recipe2!$H:$H,Recipe2!$B:$B,Hazırlık!G$5,Recipe2!$F:$F,Hazırlık!$F23)/10+SUMIFS(Recipe2!$I:$I,Recipe2!$B:$B,Hazırlık!G$5,Recipe2!$F:$F,Hazırlık!$F23)</f>
        <v>0</v>
      </c>
      <c r="H23" s="14">
        <f>SUMIFS(Recipe2!$H:$H,Recipe2!$B:$B,Hazırlık!H$5,Recipe2!$F:$F,Hazırlık!$F23)/10+SUMIFS(Recipe2!$I:$I,Recipe2!$B:$B,Hazırlık!H$5,Recipe2!$F:$F,Hazırlık!$F23)</f>
        <v>1.5</v>
      </c>
      <c r="I23" s="14">
        <f>SUMIFS(Recipe2!$H:$H,Recipe2!$B:$B,Hazırlık!I$5,Recipe2!$F:$F,Hazırlık!$F23)/10+SUMIFS(Recipe2!$I:$I,Recipe2!$B:$B,Hazırlık!I$5,Recipe2!$F:$F,Hazırlık!$F23)</f>
        <v>1</v>
      </c>
      <c r="J23" s="14">
        <f>SUMIFS(Recipe2!$H:$H,Recipe2!$B:$B,Hazırlık!J$5,Recipe2!$F:$F,Hazırlık!$F23)/10+SUMIFS(Recipe2!$I:$I,Recipe2!$B:$B,Hazırlık!J$5,Recipe2!$F:$F,Hazırlık!$F23)</f>
        <v>5</v>
      </c>
      <c r="K23" s="14">
        <f>SUMIFS(Recipe2!$H:$H,Recipe2!$B:$B,Hazırlık!K$5,Recipe2!$F:$F,Hazırlık!$F23)/10+SUMIFS(Recipe2!$I:$I,Recipe2!$B:$B,Hazırlık!K$5,Recipe2!$F:$F,Hazırlık!$F23)</f>
        <v>1</v>
      </c>
      <c r="L23" s="21">
        <f t="shared" si="1"/>
        <v>8.5</v>
      </c>
      <c r="N23" s="8"/>
      <c r="O23" s="9" t="s">
        <v>55</v>
      </c>
      <c r="P23" s="14">
        <f t="shared" si="2"/>
        <v>8.5</v>
      </c>
      <c r="Q23" s="14">
        <f t="shared" si="3"/>
        <v>7</v>
      </c>
      <c r="R23" s="14">
        <f t="shared" si="4"/>
        <v>6</v>
      </c>
      <c r="S23" s="14">
        <f t="shared" si="5"/>
        <v>1</v>
      </c>
      <c r="T23" s="20"/>
    </row>
    <row r="24" spans="5:32" x14ac:dyDescent="0.25">
      <c r="E24" s="8"/>
      <c r="F24" s="9" t="s">
        <v>25</v>
      </c>
      <c r="G24" s="14">
        <f>SUMIFS(Recipe2!$H:$H,Recipe2!$B:$B,Hazırlık!G$5,Recipe2!$F:$F,Hazırlık!$F24)/10+SUMIFS(Recipe2!$I:$I,Recipe2!$B:$B,Hazırlık!G$5,Recipe2!$F:$F,Hazırlık!$F24)</f>
        <v>0</v>
      </c>
      <c r="H24" s="14">
        <f>SUMIFS(Recipe2!$H:$H,Recipe2!$B:$B,Hazırlık!H$5,Recipe2!$F:$F,Hazırlık!$F24)/10+SUMIFS(Recipe2!$I:$I,Recipe2!$B:$B,Hazırlık!H$5,Recipe2!$F:$F,Hazırlık!$F24)</f>
        <v>3</v>
      </c>
      <c r="I24" s="14">
        <f>SUMIFS(Recipe2!$H:$H,Recipe2!$B:$B,Hazırlık!I$5,Recipe2!$F:$F,Hazırlık!$F24)/10+SUMIFS(Recipe2!$I:$I,Recipe2!$B:$B,Hazırlık!I$5,Recipe2!$F:$F,Hazırlık!$F24)</f>
        <v>0.5</v>
      </c>
      <c r="J24" s="14">
        <f>SUMIFS(Recipe2!$H:$H,Recipe2!$B:$B,Hazırlık!J$5,Recipe2!$F:$F,Hazırlık!$F24)/10+SUMIFS(Recipe2!$I:$I,Recipe2!$B:$B,Hazırlık!J$5,Recipe2!$F:$F,Hazırlık!$F24)</f>
        <v>10</v>
      </c>
      <c r="K24" s="14">
        <f>SUMIFS(Recipe2!$H:$H,Recipe2!$B:$B,Hazırlık!K$5,Recipe2!$F:$F,Hazırlık!$F24)/10+SUMIFS(Recipe2!$I:$I,Recipe2!$B:$B,Hazırlık!K$5,Recipe2!$F:$F,Hazırlık!$F24)</f>
        <v>3</v>
      </c>
      <c r="L24" s="21">
        <f t="shared" si="1"/>
        <v>16.5</v>
      </c>
      <c r="N24" s="8"/>
      <c r="O24" s="9" t="s">
        <v>25</v>
      </c>
      <c r="P24" s="14">
        <f t="shared" si="2"/>
        <v>16.5</v>
      </c>
      <c r="Q24" s="14">
        <f t="shared" si="3"/>
        <v>13.5</v>
      </c>
      <c r="R24" s="14">
        <f t="shared" si="4"/>
        <v>13</v>
      </c>
      <c r="S24" s="14">
        <f t="shared" si="5"/>
        <v>3</v>
      </c>
      <c r="T24" s="20"/>
    </row>
    <row r="25" spans="5:32" x14ac:dyDescent="0.25">
      <c r="E25" s="8"/>
      <c r="F25" s="9" t="s">
        <v>41</v>
      </c>
      <c r="G25" s="14">
        <f>SUMIFS(Recipe2!$H:$H,Recipe2!$B:$B,Hazırlık!G$5,Recipe2!$F:$F,Hazırlık!$F25)/10+SUMIFS(Recipe2!$I:$I,Recipe2!$B:$B,Hazırlık!G$5,Recipe2!$F:$F,Hazırlık!$F25)</f>
        <v>0</v>
      </c>
      <c r="H25" s="14">
        <f>SUMIFS(Recipe2!$H:$H,Recipe2!$B:$B,Hazırlık!H$5,Recipe2!$F:$F,Hazırlık!$F25)/10+SUMIFS(Recipe2!$I:$I,Recipe2!$B:$B,Hazırlık!H$5,Recipe2!$F:$F,Hazırlık!$F25)</f>
        <v>0</v>
      </c>
      <c r="I25" s="14">
        <f>SUMIFS(Recipe2!$H:$H,Recipe2!$B:$B,Hazırlık!I$5,Recipe2!$F:$F,Hazırlık!$F25)/10+SUMIFS(Recipe2!$I:$I,Recipe2!$B:$B,Hazırlık!I$5,Recipe2!$F:$F,Hazırlık!$F25)</f>
        <v>0</v>
      </c>
      <c r="J25" s="14">
        <f>SUMIFS(Recipe2!$H:$H,Recipe2!$B:$B,Hazırlık!J$5,Recipe2!$F:$F,Hazırlık!$F25)/10+SUMIFS(Recipe2!$I:$I,Recipe2!$B:$B,Hazırlık!J$5,Recipe2!$F:$F,Hazırlık!$F25)</f>
        <v>0</v>
      </c>
      <c r="K25" s="14">
        <f>SUMIFS(Recipe2!$H:$H,Recipe2!$B:$B,Hazırlık!K$5,Recipe2!$F:$F,Hazırlık!$F25)/10+SUMIFS(Recipe2!$I:$I,Recipe2!$B:$B,Hazırlık!K$5,Recipe2!$F:$F,Hazırlık!$F25)</f>
        <v>0</v>
      </c>
      <c r="L25" s="21">
        <f t="shared" si="1"/>
        <v>0</v>
      </c>
      <c r="N25" s="8"/>
      <c r="O25" s="9" t="s">
        <v>41</v>
      </c>
      <c r="P25" s="14">
        <f t="shared" si="2"/>
        <v>0</v>
      </c>
      <c r="Q25" s="14">
        <f t="shared" si="3"/>
        <v>0</v>
      </c>
      <c r="R25" s="14">
        <f t="shared" si="4"/>
        <v>0</v>
      </c>
      <c r="S25" s="14">
        <f t="shared" si="5"/>
        <v>0</v>
      </c>
      <c r="T25" s="20"/>
    </row>
    <row r="26" spans="5:32" x14ac:dyDescent="0.25">
      <c r="E26" s="8"/>
      <c r="F26" s="9" t="s">
        <v>29</v>
      </c>
      <c r="G26" s="14">
        <f>SUMIFS(Recipe2!$H:$H,Recipe2!$B:$B,Hazırlık!G$5,Recipe2!$F:$F,Hazırlık!$F26)/10+SUMIFS(Recipe2!$I:$I,Recipe2!$B:$B,Hazırlık!G$5,Recipe2!$F:$F,Hazırlık!$F26)</f>
        <v>0</v>
      </c>
      <c r="H26" s="14">
        <f>SUMIFS(Recipe2!$H:$H,Recipe2!$B:$B,Hazırlık!H$5,Recipe2!$F:$F,Hazırlık!$F26)/10+SUMIFS(Recipe2!$I:$I,Recipe2!$B:$B,Hazırlık!H$5,Recipe2!$F:$F,Hazırlık!$F26)</f>
        <v>2</v>
      </c>
      <c r="I26" s="14">
        <f>SUMIFS(Recipe2!$H:$H,Recipe2!$B:$B,Hazırlık!I$5,Recipe2!$F:$F,Hazırlık!$F26)/10+SUMIFS(Recipe2!$I:$I,Recipe2!$B:$B,Hazırlık!I$5,Recipe2!$F:$F,Hazırlık!$F26)</f>
        <v>1.5</v>
      </c>
      <c r="J26" s="14">
        <f>SUMIFS(Recipe2!$H:$H,Recipe2!$B:$B,Hazırlık!J$5,Recipe2!$F:$F,Hazırlık!$F26)/10+SUMIFS(Recipe2!$I:$I,Recipe2!$B:$B,Hazırlık!J$5,Recipe2!$F:$F,Hazırlık!$F26)</f>
        <v>14</v>
      </c>
      <c r="K26" s="14">
        <f>SUMIFS(Recipe2!$H:$H,Recipe2!$B:$B,Hazırlık!K$5,Recipe2!$F:$F,Hazırlık!$F26)/10+SUMIFS(Recipe2!$I:$I,Recipe2!$B:$B,Hazırlık!K$5,Recipe2!$F:$F,Hazırlık!$F26)</f>
        <v>3</v>
      </c>
      <c r="L26" s="21">
        <f t="shared" si="1"/>
        <v>20.5</v>
      </c>
      <c r="N26" s="8"/>
      <c r="O26" s="9" t="s">
        <v>29</v>
      </c>
      <c r="P26" s="14">
        <f t="shared" si="2"/>
        <v>20.5</v>
      </c>
      <c r="Q26" s="14">
        <f t="shared" si="3"/>
        <v>18.5</v>
      </c>
      <c r="R26" s="14">
        <f t="shared" si="4"/>
        <v>17</v>
      </c>
      <c r="S26" s="14">
        <f t="shared" si="5"/>
        <v>3</v>
      </c>
      <c r="T26" s="20"/>
    </row>
    <row r="27" spans="5:32" x14ac:dyDescent="0.25">
      <c r="E27" s="8"/>
      <c r="F27" s="9" t="s">
        <v>57</v>
      </c>
      <c r="G27" s="14">
        <f>SUMIFS(Recipe2!$H:$H,Recipe2!$B:$B,Hazırlık!G$5,Recipe2!$F:$F,Hazırlık!$F27)/10+SUMIFS(Recipe2!$I:$I,Recipe2!$B:$B,Hazırlık!G$5,Recipe2!$F:$F,Hazırlık!$F27)</f>
        <v>0</v>
      </c>
      <c r="H27" s="14">
        <f>SUMIFS(Recipe2!$H:$H,Recipe2!$B:$B,Hazırlık!H$5,Recipe2!$F:$F,Hazırlık!$F27)/10+SUMIFS(Recipe2!$I:$I,Recipe2!$B:$B,Hazırlık!H$5,Recipe2!$F:$F,Hazırlık!$F27)</f>
        <v>0.2</v>
      </c>
      <c r="I27" s="14">
        <f>SUMIFS(Recipe2!$H:$H,Recipe2!$B:$B,Hazırlık!I$5,Recipe2!$F:$F,Hazırlık!$F27)/10+SUMIFS(Recipe2!$I:$I,Recipe2!$B:$B,Hazırlık!I$5,Recipe2!$F:$F,Hazırlık!$F27)</f>
        <v>0</v>
      </c>
      <c r="J27" s="14">
        <f>SUMIFS(Recipe2!$H:$H,Recipe2!$B:$B,Hazırlık!J$5,Recipe2!$F:$F,Hazırlık!$F27)/10+SUMIFS(Recipe2!$I:$I,Recipe2!$B:$B,Hazırlık!J$5,Recipe2!$F:$F,Hazırlık!$F27)</f>
        <v>0</v>
      </c>
      <c r="K27" s="14">
        <f>SUMIFS(Recipe2!$H:$H,Recipe2!$B:$B,Hazırlık!K$5,Recipe2!$F:$F,Hazırlık!$F27)/10+SUMIFS(Recipe2!$I:$I,Recipe2!$B:$B,Hazırlık!K$5,Recipe2!$F:$F,Hazırlık!$F27)</f>
        <v>0</v>
      </c>
      <c r="L27" s="21">
        <f t="shared" si="1"/>
        <v>0.2</v>
      </c>
      <c r="N27" s="8"/>
      <c r="O27" s="9" t="s">
        <v>57</v>
      </c>
      <c r="P27" s="14">
        <f t="shared" si="2"/>
        <v>0.2</v>
      </c>
      <c r="Q27" s="14">
        <f t="shared" si="3"/>
        <v>0</v>
      </c>
      <c r="R27" s="14">
        <f t="shared" si="4"/>
        <v>0</v>
      </c>
      <c r="S27" s="14">
        <f t="shared" si="5"/>
        <v>0</v>
      </c>
      <c r="T27" s="20"/>
    </row>
    <row r="28" spans="5:32" x14ac:dyDescent="0.25">
      <c r="E28" s="8"/>
      <c r="F28" s="9" t="s">
        <v>67</v>
      </c>
      <c r="G28" s="14">
        <f>SUMIFS(Recipe2!$H:$H,Recipe2!$B:$B,Hazırlık!G$5,Recipe2!$F:$F,Hazırlık!$F28)/10+SUMIFS(Recipe2!$I:$I,Recipe2!$B:$B,Hazırlık!G$5,Recipe2!$F:$F,Hazırlık!$F28)</f>
        <v>0</v>
      </c>
      <c r="H28" s="14">
        <f>SUMIFS(Recipe2!$H:$H,Recipe2!$B:$B,Hazırlık!H$5,Recipe2!$F:$F,Hazırlık!$F28)/10+SUMIFS(Recipe2!$I:$I,Recipe2!$B:$B,Hazırlık!H$5,Recipe2!$F:$F,Hazırlık!$F28)</f>
        <v>1</v>
      </c>
      <c r="I28" s="14">
        <f>SUMIFS(Recipe2!$H:$H,Recipe2!$B:$B,Hazırlık!I$5,Recipe2!$F:$F,Hazırlık!$F28)/10+SUMIFS(Recipe2!$I:$I,Recipe2!$B:$B,Hazırlık!I$5,Recipe2!$F:$F,Hazırlık!$F28)</f>
        <v>4</v>
      </c>
      <c r="J28" s="14">
        <f>SUMIFS(Recipe2!$H:$H,Recipe2!$B:$B,Hazırlık!J$5,Recipe2!$F:$F,Hazırlık!$F28)/10+SUMIFS(Recipe2!$I:$I,Recipe2!$B:$B,Hazırlık!J$5,Recipe2!$F:$F,Hazırlık!$F28)</f>
        <v>0</v>
      </c>
      <c r="K28" s="14">
        <f>SUMIFS(Recipe2!$H:$H,Recipe2!$B:$B,Hazırlık!K$5,Recipe2!$F:$F,Hazırlık!$F28)/10+SUMIFS(Recipe2!$I:$I,Recipe2!$B:$B,Hazırlık!K$5,Recipe2!$F:$F,Hazırlık!$F28)</f>
        <v>0</v>
      </c>
      <c r="L28" s="21">
        <f t="shared" si="1"/>
        <v>5</v>
      </c>
      <c r="N28" s="8"/>
      <c r="O28" s="9" t="s">
        <v>67</v>
      </c>
      <c r="P28" s="14">
        <f t="shared" si="2"/>
        <v>5</v>
      </c>
      <c r="Q28" s="14">
        <f t="shared" si="3"/>
        <v>4</v>
      </c>
      <c r="R28" s="14">
        <f t="shared" si="4"/>
        <v>0</v>
      </c>
      <c r="S28" s="14">
        <f t="shared" si="5"/>
        <v>0</v>
      </c>
      <c r="T28" s="20"/>
    </row>
    <row r="29" spans="5:32" x14ac:dyDescent="0.25">
      <c r="E29" s="8"/>
      <c r="F29" s="9" t="s">
        <v>31</v>
      </c>
      <c r="G29" s="14">
        <f>SUMIFS(Recipe2!$H:$H,Recipe2!$B:$B,Hazırlık!G$5,Recipe2!$F:$F,Hazırlık!$F29)/10+SUMIFS(Recipe2!$I:$I,Recipe2!$B:$B,Hazırlık!G$5,Recipe2!$F:$F,Hazırlık!$F29)</f>
        <v>0</v>
      </c>
      <c r="H29" s="14">
        <f>SUMIFS(Recipe2!$H:$H,Recipe2!$B:$B,Hazırlık!H$5,Recipe2!$F:$F,Hazırlık!$F29)/10+SUMIFS(Recipe2!$I:$I,Recipe2!$B:$B,Hazırlık!H$5,Recipe2!$F:$F,Hazırlık!$F29)</f>
        <v>1</v>
      </c>
      <c r="I29" s="14">
        <f>SUMIFS(Recipe2!$H:$H,Recipe2!$B:$B,Hazırlık!I$5,Recipe2!$F:$F,Hazırlık!$F29)/10+SUMIFS(Recipe2!$I:$I,Recipe2!$B:$B,Hazırlık!I$5,Recipe2!$F:$F,Hazırlık!$F29)</f>
        <v>0</v>
      </c>
      <c r="J29" s="14">
        <f>SUMIFS(Recipe2!$H:$H,Recipe2!$B:$B,Hazırlık!J$5,Recipe2!$F:$F,Hazırlık!$F29)/10+SUMIFS(Recipe2!$I:$I,Recipe2!$B:$B,Hazırlık!J$5,Recipe2!$F:$F,Hazırlık!$F29)</f>
        <v>10</v>
      </c>
      <c r="K29" s="14">
        <f>SUMIFS(Recipe2!$H:$H,Recipe2!$B:$B,Hazırlık!K$5,Recipe2!$F:$F,Hazırlık!$F29)/10+SUMIFS(Recipe2!$I:$I,Recipe2!$B:$B,Hazırlık!K$5,Recipe2!$F:$F,Hazırlık!$F29)</f>
        <v>1</v>
      </c>
      <c r="L29" s="21">
        <f t="shared" si="1"/>
        <v>12</v>
      </c>
      <c r="N29" s="8"/>
      <c r="O29" s="9" t="s">
        <v>31</v>
      </c>
      <c r="P29" s="14">
        <f t="shared" si="2"/>
        <v>12</v>
      </c>
      <c r="Q29" s="14">
        <f t="shared" si="3"/>
        <v>11</v>
      </c>
      <c r="R29" s="14">
        <f t="shared" si="4"/>
        <v>11</v>
      </c>
      <c r="S29" s="14">
        <f t="shared" si="5"/>
        <v>1</v>
      </c>
      <c r="T29" s="20"/>
    </row>
    <row r="30" spans="5:32" x14ac:dyDescent="0.25">
      <c r="E30" s="8"/>
      <c r="F30" s="9" t="s">
        <v>47</v>
      </c>
      <c r="G30" s="14">
        <f>SUMIFS(Recipe2!$H:$H,Recipe2!$B:$B,Hazırlık!G$5,Recipe2!$F:$F,Hazırlık!$F30)/10+SUMIFS(Recipe2!$I:$I,Recipe2!$B:$B,Hazırlık!G$5,Recipe2!$F:$F,Hazırlık!$F30)</f>
        <v>0</v>
      </c>
      <c r="H30" s="14">
        <f>SUMIFS(Recipe2!$H:$H,Recipe2!$B:$B,Hazırlık!H$5,Recipe2!$F:$F,Hazırlık!$F30)/10+SUMIFS(Recipe2!$I:$I,Recipe2!$B:$B,Hazırlık!H$5,Recipe2!$F:$F,Hazırlık!$F30)</f>
        <v>0</v>
      </c>
      <c r="I30" s="14">
        <f>SUMIFS(Recipe2!$H:$H,Recipe2!$B:$B,Hazırlık!I$5,Recipe2!$F:$F,Hazırlık!$F30)/10+SUMIFS(Recipe2!$I:$I,Recipe2!$B:$B,Hazırlık!I$5,Recipe2!$F:$F,Hazırlık!$F30)</f>
        <v>0</v>
      </c>
      <c r="J30" s="14">
        <f>SUMIFS(Recipe2!$H:$H,Recipe2!$B:$B,Hazırlık!J$5,Recipe2!$F:$F,Hazırlık!$F30)/10+SUMIFS(Recipe2!$I:$I,Recipe2!$B:$B,Hazırlık!J$5,Recipe2!$F:$F,Hazırlık!$F30)</f>
        <v>12</v>
      </c>
      <c r="K30" s="14">
        <f>SUMIFS(Recipe2!$H:$H,Recipe2!$B:$B,Hazırlık!K$5,Recipe2!$F:$F,Hazırlık!$F30)/10+SUMIFS(Recipe2!$I:$I,Recipe2!$B:$B,Hazırlık!K$5,Recipe2!$F:$F,Hazırlık!$F30)</f>
        <v>0</v>
      </c>
      <c r="L30" s="21">
        <f t="shared" si="1"/>
        <v>12</v>
      </c>
      <c r="N30" s="8"/>
      <c r="O30" s="9" t="s">
        <v>47</v>
      </c>
      <c r="P30" s="14">
        <f t="shared" si="2"/>
        <v>12</v>
      </c>
      <c r="Q30" s="14">
        <f t="shared" si="3"/>
        <v>12</v>
      </c>
      <c r="R30" s="14">
        <f t="shared" si="4"/>
        <v>12</v>
      </c>
      <c r="S30" s="14">
        <f t="shared" si="5"/>
        <v>0</v>
      </c>
      <c r="T30" s="20"/>
    </row>
    <row r="31" spans="5:32" x14ac:dyDescent="0.25">
      <c r="E31" s="8"/>
      <c r="F31" s="9" t="s">
        <v>171</v>
      </c>
      <c r="G31" s="14">
        <f>SUMIFS(Recipe2!$H:$H,Recipe2!$B:$B,Hazırlık!G$5,Recipe2!$F:$F,Hazırlık!$F31)/10+SUMIFS(Recipe2!$I:$I,Recipe2!$B:$B,Hazırlık!G$5,Recipe2!$F:$F,Hazırlık!$F31)</f>
        <v>0</v>
      </c>
      <c r="H31" s="14">
        <f>SUMIFS(Recipe2!$H:$H,Recipe2!$B:$B,Hazırlık!H$5,Recipe2!$F:$F,Hazırlık!$F31)/10+SUMIFS(Recipe2!$I:$I,Recipe2!$B:$B,Hazırlık!H$5,Recipe2!$F:$F,Hazırlık!$F31)</f>
        <v>0</v>
      </c>
      <c r="I31" s="14">
        <f>SUMIFS(Recipe2!$H:$H,Recipe2!$B:$B,Hazırlık!I$5,Recipe2!$F:$F,Hazırlık!$F31)/10+SUMIFS(Recipe2!$I:$I,Recipe2!$B:$B,Hazırlık!I$5,Recipe2!$F:$F,Hazırlık!$F31)</f>
        <v>0</v>
      </c>
      <c r="J31" s="14">
        <f>SUMIFS(Recipe2!$H:$H,Recipe2!$B:$B,Hazırlık!J$5,Recipe2!$F:$F,Hazırlık!$F31)/10+SUMIFS(Recipe2!$I:$I,Recipe2!$B:$B,Hazırlık!J$5,Recipe2!$F:$F,Hazırlık!$F31)</f>
        <v>0.5</v>
      </c>
      <c r="K31" s="14">
        <f>SUMIFS(Recipe2!$H:$H,Recipe2!$B:$B,Hazırlık!K$5,Recipe2!$F:$F,Hazırlık!$F31)/10+SUMIFS(Recipe2!$I:$I,Recipe2!$B:$B,Hazırlık!K$5,Recipe2!$F:$F,Hazırlık!$F31)</f>
        <v>0.9</v>
      </c>
      <c r="L31" s="21">
        <f t="shared" si="1"/>
        <v>1.4</v>
      </c>
      <c r="N31" s="8"/>
      <c r="O31" s="9" t="s">
        <v>171</v>
      </c>
      <c r="P31" s="14">
        <f t="shared" si="2"/>
        <v>1.4</v>
      </c>
      <c r="Q31" s="14">
        <f t="shared" si="3"/>
        <v>1.4</v>
      </c>
      <c r="R31" s="14">
        <f t="shared" si="4"/>
        <v>1.4</v>
      </c>
      <c r="S31" s="14">
        <f t="shared" si="5"/>
        <v>0.9</v>
      </c>
      <c r="T31" s="20"/>
    </row>
    <row r="32" spans="5:32" x14ac:dyDescent="0.25">
      <c r="E32" s="8"/>
      <c r="F32" s="9" t="s">
        <v>380</v>
      </c>
      <c r="G32" s="15">
        <f>SUM(G6:G31)</f>
        <v>4</v>
      </c>
      <c r="H32" s="15">
        <f t="shared" ref="H32:L32" si="6">SUM(H6:H31)</f>
        <v>68.2</v>
      </c>
      <c r="I32" s="15">
        <f t="shared" si="6"/>
        <v>81.8</v>
      </c>
      <c r="J32" s="15">
        <f t="shared" si="6"/>
        <v>524.6</v>
      </c>
      <c r="K32" s="15">
        <f t="shared" si="6"/>
        <v>154.4</v>
      </c>
      <c r="L32" s="21">
        <f t="shared" si="6"/>
        <v>833</v>
      </c>
      <c r="N32" s="8"/>
      <c r="O32" s="9" t="s">
        <v>380</v>
      </c>
      <c r="P32" s="15">
        <f>SUM(P6:P31)</f>
        <v>829</v>
      </c>
      <c r="Q32" s="15">
        <f t="shared" ref="Q32" si="7">SUM(Q6:Q31)</f>
        <v>760.8</v>
      </c>
      <c r="R32" s="15">
        <f t="shared" ref="R32" si="8">SUM(R6:R31)</f>
        <v>679</v>
      </c>
      <c r="S32" s="15">
        <f t="shared" ref="S32" si="9">SUM(S6:S31)</f>
        <v>154.4</v>
      </c>
      <c r="T32" s="21"/>
    </row>
    <row r="33" spans="5:20" ht="15.75" thickBot="1" x14ac:dyDescent="0.3">
      <c r="E33" s="11"/>
      <c r="F33" s="12"/>
      <c r="G33" s="12"/>
      <c r="H33" s="12"/>
      <c r="I33" s="12"/>
      <c r="J33" s="12"/>
      <c r="K33" s="12"/>
      <c r="L33" s="13"/>
      <c r="N33" s="11"/>
      <c r="O33" s="12"/>
      <c r="P33" s="12"/>
      <c r="Q33" s="12"/>
      <c r="R33" s="12"/>
      <c r="S33" s="12"/>
      <c r="T33" s="13"/>
    </row>
    <row r="34" spans="5:20" ht="15.75" thickBot="1" x14ac:dyDescent="0.3"/>
    <row r="35" spans="5:20" ht="24" x14ac:dyDescent="0.25">
      <c r="E35" s="18" t="s">
        <v>375</v>
      </c>
      <c r="F35" s="6"/>
      <c r="G35" s="6"/>
      <c r="H35" s="6"/>
      <c r="I35" s="6"/>
      <c r="J35" s="6"/>
      <c r="K35" s="6"/>
      <c r="L35" s="7"/>
    </row>
    <row r="36" spans="5:20" x14ac:dyDescent="0.25">
      <c r="E36" s="8"/>
      <c r="F36" s="9"/>
      <c r="G36" s="9"/>
      <c r="H36" s="9"/>
      <c r="I36" s="9"/>
      <c r="J36" s="9"/>
      <c r="K36" s="9"/>
      <c r="L36" s="10"/>
    </row>
    <row r="37" spans="5:20" ht="24" x14ac:dyDescent="0.25">
      <c r="E37" s="8"/>
      <c r="F37" s="17">
        <f>SUM(G65:K65)</f>
        <v>653.29999999999995</v>
      </c>
      <c r="G37" s="9"/>
      <c r="H37" s="9"/>
      <c r="I37" s="9"/>
      <c r="J37" s="9"/>
      <c r="K37" s="9"/>
      <c r="L37" s="10"/>
    </row>
    <row r="38" spans="5:20" x14ac:dyDescent="0.25">
      <c r="E38" s="8"/>
      <c r="F38" s="9"/>
      <c r="G38" s="14" t="s">
        <v>90</v>
      </c>
      <c r="H38" s="14" t="s">
        <v>84</v>
      </c>
      <c r="I38" s="14" t="s">
        <v>74</v>
      </c>
      <c r="J38" s="14" t="s">
        <v>153</v>
      </c>
      <c r="K38" s="14" t="s">
        <v>121</v>
      </c>
      <c r="L38" s="20" t="s">
        <v>383</v>
      </c>
    </row>
    <row r="39" spans="5:20" x14ac:dyDescent="0.25">
      <c r="E39" s="8"/>
      <c r="F39" s="9" t="s">
        <v>39</v>
      </c>
      <c r="G39" s="14">
        <f>SUMIFS(Recipe2!$H:$H,Recipe2!$B:$B,G$38,Recipe2!$F:$F,Hazırlık!$F39)/10+SUMIFS(Recipe2!$I:$I,Recipe2!$B:$B,G$38,Recipe2!$F:$F,Hazırlık!$F39)</f>
        <v>1</v>
      </c>
      <c r="H39" s="14">
        <f>SUMIFS(Recipe2!$H:$H,Recipe2!$B:$B,H$38,Recipe2!$F:$F,Hazırlık!$F39)/10+SUMIFS(Recipe2!$I:$I,Recipe2!$B:$B,H$38,Recipe2!$F:$F,Hazırlık!$F39)</f>
        <v>3</v>
      </c>
      <c r="I39" s="14">
        <f>SUMIFS(Recipe2!$H:$H,Recipe2!$B:$B,I$38,Recipe2!$F:$F,Hazırlık!$F39)/10+SUMIFS(Recipe2!$I:$I,Recipe2!$B:$B,I$38,Recipe2!$F:$F,Hazırlık!$F39)</f>
        <v>1</v>
      </c>
      <c r="J39" s="14">
        <f>SUMIFS(Recipe2!$H:$H,Recipe2!$B:$B,J$38,Recipe2!$F:$F,Hazırlık!$F39)/10+SUMIFS(Recipe2!$I:$I,Recipe2!$B:$B,J$38,Recipe2!$F:$F,Hazırlık!$F39)</f>
        <v>0</v>
      </c>
      <c r="K39" s="14">
        <f>SUMIFS(Recipe2!$H:$H,Recipe2!$B:$B,K$38,Recipe2!$F:$F,Hazırlık!$F39)/10+SUMIFS(Recipe2!$I:$I,Recipe2!$B:$B,K$38,Recipe2!$F:$F,Hazırlık!$F39)</f>
        <v>2.5</v>
      </c>
      <c r="L39" s="20">
        <f>SUM(G39:K39)</f>
        <v>7.5</v>
      </c>
    </row>
    <row r="40" spans="5:20" x14ac:dyDescent="0.25">
      <c r="E40" s="8"/>
      <c r="F40" s="9" t="s">
        <v>61</v>
      </c>
      <c r="G40" s="14">
        <f>SUMIFS(Recipe2!$H:$H,Recipe2!$B:$B,G$38,Recipe2!$F:$F,Hazırlık!$F40)/10+SUMIFS(Recipe2!$I:$I,Recipe2!$B:$B,G$38,Recipe2!$F:$F,Hazırlık!$F40)</f>
        <v>5</v>
      </c>
      <c r="H40" s="14">
        <f>SUMIFS(Recipe2!$H:$H,Recipe2!$B:$B,H$38,Recipe2!$F:$F,Hazırlık!$F40)/10+SUMIFS(Recipe2!$I:$I,Recipe2!$B:$B,H$38,Recipe2!$F:$F,Hazırlık!$F40)</f>
        <v>4</v>
      </c>
      <c r="I40" s="14">
        <f>SUMIFS(Recipe2!$H:$H,Recipe2!$B:$B,I$38,Recipe2!$F:$F,Hazırlık!$F40)/10+SUMIFS(Recipe2!$I:$I,Recipe2!$B:$B,I$38,Recipe2!$F:$F,Hazırlık!$F40)</f>
        <v>4.5</v>
      </c>
      <c r="J40" s="14">
        <f>SUMIFS(Recipe2!$H:$H,Recipe2!$B:$B,J$38,Recipe2!$F:$F,Hazırlık!$F40)/10+SUMIFS(Recipe2!$I:$I,Recipe2!$B:$B,J$38,Recipe2!$F:$F,Hazırlık!$F40)</f>
        <v>0</v>
      </c>
      <c r="K40" s="14">
        <f>SUMIFS(Recipe2!$H:$H,Recipe2!$B:$B,K$38,Recipe2!$F:$F,Hazırlık!$F40)/10+SUMIFS(Recipe2!$I:$I,Recipe2!$B:$B,K$38,Recipe2!$F:$F,Hazırlık!$F40)</f>
        <v>5.5</v>
      </c>
      <c r="L40" s="20">
        <f t="shared" ref="L40:L64" si="10">SUM(G40:K40)</f>
        <v>19</v>
      </c>
    </row>
    <row r="41" spans="5:20" x14ac:dyDescent="0.25">
      <c r="E41" s="8"/>
      <c r="F41" s="9" t="s">
        <v>79</v>
      </c>
      <c r="G41" s="14">
        <f>SUMIFS(Recipe2!$H:$H,Recipe2!$B:$B,G$38,Recipe2!$F:$F,Hazırlık!$F41)/10+SUMIFS(Recipe2!$I:$I,Recipe2!$B:$B,G$38,Recipe2!$F:$F,Hazırlık!$F41)</f>
        <v>3</v>
      </c>
      <c r="H41" s="14">
        <f>SUMIFS(Recipe2!$H:$H,Recipe2!$B:$B,H$38,Recipe2!$F:$F,Hazırlık!$F41)/10+SUMIFS(Recipe2!$I:$I,Recipe2!$B:$B,H$38,Recipe2!$F:$F,Hazırlık!$F41)</f>
        <v>0</v>
      </c>
      <c r="I41" s="14">
        <f>SUMIFS(Recipe2!$H:$H,Recipe2!$B:$B,I$38,Recipe2!$F:$F,Hazırlık!$F41)/10+SUMIFS(Recipe2!$I:$I,Recipe2!$B:$B,I$38,Recipe2!$F:$F,Hazırlık!$F41)</f>
        <v>3</v>
      </c>
      <c r="J41" s="14">
        <f>SUMIFS(Recipe2!$H:$H,Recipe2!$B:$B,J$38,Recipe2!$F:$F,Hazırlık!$F41)/10+SUMIFS(Recipe2!$I:$I,Recipe2!$B:$B,J$38,Recipe2!$F:$F,Hazırlık!$F41)</f>
        <v>0</v>
      </c>
      <c r="K41" s="14">
        <f>SUMIFS(Recipe2!$H:$H,Recipe2!$B:$B,K$38,Recipe2!$F:$F,Hazırlık!$F41)/10+SUMIFS(Recipe2!$I:$I,Recipe2!$B:$B,K$38,Recipe2!$F:$F,Hazırlık!$F41)</f>
        <v>1</v>
      </c>
      <c r="L41" s="20">
        <f t="shared" si="10"/>
        <v>7</v>
      </c>
    </row>
    <row r="42" spans="5:20" x14ac:dyDescent="0.25">
      <c r="E42" s="8"/>
      <c r="F42" s="9" t="s">
        <v>51</v>
      </c>
      <c r="G42" s="14">
        <f>SUMIFS(Recipe2!$H:$H,Recipe2!$B:$B,G$38,Recipe2!$F:$F,Hazırlık!$F42)/10+SUMIFS(Recipe2!$I:$I,Recipe2!$B:$B,G$38,Recipe2!$F:$F,Hazırlık!$F42)</f>
        <v>43</v>
      </c>
      <c r="H42" s="14">
        <f>SUMIFS(Recipe2!$H:$H,Recipe2!$B:$B,H$38,Recipe2!$F:$F,Hazırlık!$F42)/10+SUMIFS(Recipe2!$I:$I,Recipe2!$B:$B,H$38,Recipe2!$F:$F,Hazırlık!$F42)</f>
        <v>19</v>
      </c>
      <c r="I42" s="14">
        <f>SUMIFS(Recipe2!$H:$H,Recipe2!$B:$B,I$38,Recipe2!$F:$F,Hazırlık!$F42)/10+SUMIFS(Recipe2!$I:$I,Recipe2!$B:$B,I$38,Recipe2!$F:$F,Hazırlık!$F42)</f>
        <v>19</v>
      </c>
      <c r="J42" s="14">
        <f>SUMIFS(Recipe2!$H:$H,Recipe2!$B:$B,J$38,Recipe2!$F:$F,Hazırlık!$F42)/10+SUMIFS(Recipe2!$I:$I,Recipe2!$B:$B,J$38,Recipe2!$F:$F,Hazırlık!$F42)</f>
        <v>11</v>
      </c>
      <c r="K42" s="14">
        <f>SUMIFS(Recipe2!$H:$H,Recipe2!$B:$B,K$38,Recipe2!$F:$F,Hazırlık!$F42)/10+SUMIFS(Recipe2!$I:$I,Recipe2!$B:$B,K$38,Recipe2!$F:$F,Hazırlık!$F42)</f>
        <v>24</v>
      </c>
      <c r="L42" s="20">
        <f t="shared" si="10"/>
        <v>116</v>
      </c>
    </row>
    <row r="43" spans="5:20" x14ac:dyDescent="0.25">
      <c r="E43" s="8"/>
      <c r="F43" s="9" t="s">
        <v>63</v>
      </c>
      <c r="G43" s="14">
        <f>SUMIFS(Recipe2!$H:$H,Recipe2!$B:$B,G$38,Recipe2!$F:$F,Hazırlık!$F43)/10+SUMIFS(Recipe2!$I:$I,Recipe2!$B:$B,G$38,Recipe2!$F:$F,Hazırlık!$F43)</f>
        <v>2.2000000000000002</v>
      </c>
      <c r="H43" s="14">
        <f>SUMIFS(Recipe2!$H:$H,Recipe2!$B:$B,H$38,Recipe2!$F:$F,Hazırlık!$F43)/10+SUMIFS(Recipe2!$I:$I,Recipe2!$B:$B,H$38,Recipe2!$F:$F,Hazırlık!$F43)</f>
        <v>1</v>
      </c>
      <c r="I43" s="14">
        <f>SUMIFS(Recipe2!$H:$H,Recipe2!$B:$B,I$38,Recipe2!$F:$F,Hazırlık!$F43)/10+SUMIFS(Recipe2!$I:$I,Recipe2!$B:$B,I$38,Recipe2!$F:$F,Hazırlık!$F43)</f>
        <v>2.4</v>
      </c>
      <c r="J43" s="14">
        <f>SUMIFS(Recipe2!$H:$H,Recipe2!$B:$B,J$38,Recipe2!$F:$F,Hazırlık!$F43)/10+SUMIFS(Recipe2!$I:$I,Recipe2!$B:$B,J$38,Recipe2!$F:$F,Hazırlık!$F43)</f>
        <v>1</v>
      </c>
      <c r="K43" s="14">
        <f>SUMIFS(Recipe2!$H:$H,Recipe2!$B:$B,K$38,Recipe2!$F:$F,Hazırlık!$F43)/10+SUMIFS(Recipe2!$I:$I,Recipe2!$B:$B,K$38,Recipe2!$F:$F,Hazırlık!$F43)</f>
        <v>3.6</v>
      </c>
      <c r="L43" s="20">
        <f t="shared" si="10"/>
        <v>10.199999999999999</v>
      </c>
    </row>
    <row r="44" spans="5:20" x14ac:dyDescent="0.25">
      <c r="E44" s="8"/>
      <c r="F44" s="9" t="s">
        <v>81</v>
      </c>
      <c r="G44" s="14">
        <f>SUMIFS(Recipe2!$H:$H,Recipe2!$B:$B,G$38,Recipe2!$F:$F,Hazırlık!$F44)/10+SUMIFS(Recipe2!$I:$I,Recipe2!$B:$B,G$38,Recipe2!$F:$F,Hazırlık!$F44)</f>
        <v>0</v>
      </c>
      <c r="H44" s="14">
        <f>SUMIFS(Recipe2!$H:$H,Recipe2!$B:$B,H$38,Recipe2!$F:$F,Hazırlık!$F44)/10+SUMIFS(Recipe2!$I:$I,Recipe2!$B:$B,H$38,Recipe2!$F:$F,Hazırlık!$F44)</f>
        <v>1</v>
      </c>
      <c r="I44" s="14">
        <f>SUMIFS(Recipe2!$H:$H,Recipe2!$B:$B,I$38,Recipe2!$F:$F,Hazırlık!$F44)/10+SUMIFS(Recipe2!$I:$I,Recipe2!$B:$B,I$38,Recipe2!$F:$F,Hazırlık!$F44)</f>
        <v>3</v>
      </c>
      <c r="J44" s="14">
        <f>SUMIFS(Recipe2!$H:$H,Recipe2!$B:$B,J$38,Recipe2!$F:$F,Hazırlık!$F44)/10+SUMIFS(Recipe2!$I:$I,Recipe2!$B:$B,J$38,Recipe2!$F:$F,Hazırlık!$F44)</f>
        <v>1</v>
      </c>
      <c r="K44" s="14">
        <f>SUMIFS(Recipe2!$H:$H,Recipe2!$B:$B,K$38,Recipe2!$F:$F,Hazırlık!$F44)/10+SUMIFS(Recipe2!$I:$I,Recipe2!$B:$B,K$38,Recipe2!$F:$F,Hazırlık!$F44)</f>
        <v>2</v>
      </c>
      <c r="L44" s="20">
        <f t="shared" si="10"/>
        <v>7</v>
      </c>
    </row>
    <row r="45" spans="5:20" x14ac:dyDescent="0.25">
      <c r="E45" s="8"/>
      <c r="F45" s="9" t="s">
        <v>45</v>
      </c>
      <c r="G45" s="14">
        <f>SUMIFS(Recipe2!$H:$H,Recipe2!$B:$B,G$38,Recipe2!$F:$F,Hazırlık!$F45)/10+SUMIFS(Recipe2!$I:$I,Recipe2!$B:$B,G$38,Recipe2!$F:$F,Hazırlık!$F45)</f>
        <v>50</v>
      </c>
      <c r="H45" s="14">
        <f>SUMIFS(Recipe2!$H:$H,Recipe2!$B:$B,H$38,Recipe2!$F:$F,Hazırlık!$F45)/10+SUMIFS(Recipe2!$I:$I,Recipe2!$B:$B,H$38,Recipe2!$F:$F,Hazırlık!$F45)</f>
        <v>13</v>
      </c>
      <c r="I45" s="14">
        <f>SUMIFS(Recipe2!$H:$H,Recipe2!$B:$B,I$38,Recipe2!$F:$F,Hazırlık!$F45)/10+SUMIFS(Recipe2!$I:$I,Recipe2!$B:$B,I$38,Recipe2!$F:$F,Hazırlık!$F45)</f>
        <v>11</v>
      </c>
      <c r="J45" s="14">
        <f>SUMIFS(Recipe2!$H:$H,Recipe2!$B:$B,J$38,Recipe2!$F:$F,Hazırlık!$F45)/10+SUMIFS(Recipe2!$I:$I,Recipe2!$B:$B,J$38,Recipe2!$F:$F,Hazırlık!$F45)</f>
        <v>21</v>
      </c>
      <c r="K45" s="14">
        <f>SUMIFS(Recipe2!$H:$H,Recipe2!$B:$B,K$38,Recipe2!$F:$F,Hazırlık!$F45)/10+SUMIFS(Recipe2!$I:$I,Recipe2!$B:$B,K$38,Recipe2!$F:$F,Hazırlık!$F45)</f>
        <v>41</v>
      </c>
      <c r="L45" s="20">
        <f t="shared" si="10"/>
        <v>136</v>
      </c>
    </row>
    <row r="46" spans="5:20" x14ac:dyDescent="0.25">
      <c r="E46" s="8"/>
      <c r="F46" s="9" t="s">
        <v>71</v>
      </c>
      <c r="G46" s="14">
        <f>SUMIFS(Recipe2!$H:$H,Recipe2!$B:$B,G$38,Recipe2!$F:$F,Hazırlık!$F46)/10+SUMIFS(Recipe2!$I:$I,Recipe2!$B:$B,G$38,Recipe2!$F:$F,Hazırlık!$F46)</f>
        <v>7</v>
      </c>
      <c r="H46" s="14">
        <f>SUMIFS(Recipe2!$H:$H,Recipe2!$B:$B,H$38,Recipe2!$F:$F,Hazırlık!$F46)/10+SUMIFS(Recipe2!$I:$I,Recipe2!$B:$B,H$38,Recipe2!$F:$F,Hazırlık!$F46)</f>
        <v>5</v>
      </c>
      <c r="I46" s="14">
        <f>SUMIFS(Recipe2!$H:$H,Recipe2!$B:$B,I$38,Recipe2!$F:$F,Hazırlık!$F46)/10+SUMIFS(Recipe2!$I:$I,Recipe2!$B:$B,I$38,Recipe2!$F:$F,Hazırlık!$F46)</f>
        <v>3</v>
      </c>
      <c r="J46" s="14">
        <f>SUMIFS(Recipe2!$H:$H,Recipe2!$B:$B,J$38,Recipe2!$F:$F,Hazırlık!$F46)/10+SUMIFS(Recipe2!$I:$I,Recipe2!$B:$B,J$38,Recipe2!$F:$F,Hazırlık!$F46)</f>
        <v>2</v>
      </c>
      <c r="K46" s="14">
        <f>SUMIFS(Recipe2!$H:$H,Recipe2!$B:$B,K$38,Recipe2!$F:$F,Hazırlık!$F46)/10+SUMIFS(Recipe2!$I:$I,Recipe2!$B:$B,K$38,Recipe2!$F:$F,Hazırlık!$F46)</f>
        <v>2</v>
      </c>
      <c r="L46" s="20">
        <f t="shared" si="10"/>
        <v>19</v>
      </c>
    </row>
    <row r="47" spans="5:20" x14ac:dyDescent="0.25">
      <c r="E47" s="8"/>
      <c r="F47" s="9" t="s">
        <v>59</v>
      </c>
      <c r="G47" s="14">
        <f>SUMIFS(Recipe2!$H:$H,Recipe2!$B:$B,G$38,Recipe2!$F:$F,Hazırlık!$F47)/10+SUMIFS(Recipe2!$I:$I,Recipe2!$B:$B,G$38,Recipe2!$F:$F,Hazırlık!$F47)</f>
        <v>18</v>
      </c>
      <c r="H47" s="14">
        <f>SUMIFS(Recipe2!$H:$H,Recipe2!$B:$B,H$38,Recipe2!$F:$F,Hazırlık!$F47)/10+SUMIFS(Recipe2!$I:$I,Recipe2!$B:$B,H$38,Recipe2!$F:$F,Hazırlık!$F47)</f>
        <v>22</v>
      </c>
      <c r="I47" s="14">
        <f>SUMIFS(Recipe2!$H:$H,Recipe2!$B:$B,I$38,Recipe2!$F:$F,Hazırlık!$F47)/10+SUMIFS(Recipe2!$I:$I,Recipe2!$B:$B,I$38,Recipe2!$F:$F,Hazırlık!$F47)</f>
        <v>4</v>
      </c>
      <c r="J47" s="14">
        <f>SUMIFS(Recipe2!$H:$H,Recipe2!$B:$B,J$38,Recipe2!$F:$F,Hazırlık!$F47)/10+SUMIFS(Recipe2!$I:$I,Recipe2!$B:$B,J$38,Recipe2!$F:$F,Hazırlık!$F47)</f>
        <v>8</v>
      </c>
      <c r="K47" s="14">
        <f>SUMIFS(Recipe2!$H:$H,Recipe2!$B:$B,K$38,Recipe2!$F:$F,Hazırlık!$F47)/10+SUMIFS(Recipe2!$I:$I,Recipe2!$B:$B,K$38,Recipe2!$F:$F,Hazırlık!$F47)</f>
        <v>15</v>
      </c>
      <c r="L47" s="20">
        <f t="shared" si="10"/>
        <v>67</v>
      </c>
    </row>
    <row r="48" spans="5:20" x14ac:dyDescent="0.25">
      <c r="E48" s="8"/>
      <c r="F48" s="9" t="s">
        <v>69</v>
      </c>
      <c r="G48" s="14">
        <f>SUMIFS(Recipe2!$H:$H,Recipe2!$B:$B,G$38,Recipe2!$F:$F,Hazırlık!$F48)/10+SUMIFS(Recipe2!$I:$I,Recipe2!$B:$B,G$38,Recipe2!$F:$F,Hazırlık!$F48)</f>
        <v>1.8</v>
      </c>
      <c r="H48" s="14">
        <f>SUMIFS(Recipe2!$H:$H,Recipe2!$B:$B,H$38,Recipe2!$F:$F,Hazırlık!$F48)/10+SUMIFS(Recipe2!$I:$I,Recipe2!$B:$B,H$38,Recipe2!$F:$F,Hazırlık!$F48)</f>
        <v>1</v>
      </c>
      <c r="I48" s="14">
        <f>SUMIFS(Recipe2!$H:$H,Recipe2!$B:$B,I$38,Recipe2!$F:$F,Hazırlık!$F48)/10+SUMIFS(Recipe2!$I:$I,Recipe2!$B:$B,I$38,Recipe2!$F:$F,Hazırlık!$F48)</f>
        <v>1.6</v>
      </c>
      <c r="J48" s="14">
        <f>SUMIFS(Recipe2!$H:$H,Recipe2!$B:$B,J$38,Recipe2!$F:$F,Hazırlık!$F48)/10+SUMIFS(Recipe2!$I:$I,Recipe2!$B:$B,J$38,Recipe2!$F:$F,Hazırlık!$F48)</f>
        <v>0</v>
      </c>
      <c r="K48" s="14">
        <f>SUMIFS(Recipe2!$H:$H,Recipe2!$B:$B,K$38,Recipe2!$F:$F,Hazırlık!$F48)/10+SUMIFS(Recipe2!$I:$I,Recipe2!$B:$B,K$38,Recipe2!$F:$F,Hazırlık!$F48)</f>
        <v>2.2000000000000002</v>
      </c>
      <c r="L48" s="20">
        <f t="shared" si="10"/>
        <v>6.6000000000000005</v>
      </c>
    </row>
    <row r="49" spans="5:12" x14ac:dyDescent="0.25">
      <c r="E49" s="8"/>
      <c r="F49" s="9" t="s">
        <v>65</v>
      </c>
      <c r="G49" s="14">
        <f>SUMIFS(Recipe2!$H:$H,Recipe2!$B:$B,G$38,Recipe2!$F:$F,Hazırlık!$F49)/10+SUMIFS(Recipe2!$I:$I,Recipe2!$B:$B,G$38,Recipe2!$F:$F,Hazırlık!$F49)</f>
        <v>49</v>
      </c>
      <c r="H49" s="14">
        <f>SUMIFS(Recipe2!$H:$H,Recipe2!$B:$B,H$38,Recipe2!$F:$F,Hazırlık!$F49)/10+SUMIFS(Recipe2!$I:$I,Recipe2!$B:$B,H$38,Recipe2!$F:$F,Hazırlık!$F49)</f>
        <v>24</v>
      </c>
      <c r="I49" s="14">
        <f>SUMIFS(Recipe2!$H:$H,Recipe2!$B:$B,I$38,Recipe2!$F:$F,Hazırlık!$F49)/10+SUMIFS(Recipe2!$I:$I,Recipe2!$B:$B,I$38,Recipe2!$F:$F,Hazırlık!$F49)</f>
        <v>10</v>
      </c>
      <c r="J49" s="14">
        <f>SUMIFS(Recipe2!$H:$H,Recipe2!$B:$B,J$38,Recipe2!$F:$F,Hazırlık!$F49)/10+SUMIFS(Recipe2!$I:$I,Recipe2!$B:$B,J$38,Recipe2!$F:$F,Hazırlık!$F49)</f>
        <v>9</v>
      </c>
      <c r="K49" s="14">
        <f>SUMIFS(Recipe2!$H:$H,Recipe2!$B:$B,K$38,Recipe2!$F:$F,Hazırlık!$F49)/10+SUMIFS(Recipe2!$I:$I,Recipe2!$B:$B,K$38,Recipe2!$F:$F,Hazırlık!$F49)</f>
        <v>20</v>
      </c>
      <c r="L49" s="20">
        <f t="shared" si="10"/>
        <v>112</v>
      </c>
    </row>
    <row r="50" spans="5:12" x14ac:dyDescent="0.25">
      <c r="E50" s="8"/>
      <c r="F50" s="9" t="s">
        <v>43</v>
      </c>
      <c r="G50" s="14">
        <f>SUMIFS(Recipe2!$H:$H,Recipe2!$B:$B,G$38,Recipe2!$F:$F,Hazırlık!$F50)/10+SUMIFS(Recipe2!$I:$I,Recipe2!$B:$B,G$38,Recipe2!$F:$F,Hazırlık!$F50)</f>
        <v>0.5</v>
      </c>
      <c r="H50" s="14">
        <f>SUMIFS(Recipe2!$H:$H,Recipe2!$B:$B,H$38,Recipe2!$F:$F,Hazırlık!$F50)/10+SUMIFS(Recipe2!$I:$I,Recipe2!$B:$B,H$38,Recipe2!$F:$F,Hazırlık!$F50)</f>
        <v>4</v>
      </c>
      <c r="I50" s="14">
        <f>SUMIFS(Recipe2!$H:$H,Recipe2!$B:$B,I$38,Recipe2!$F:$F,Hazırlık!$F50)/10+SUMIFS(Recipe2!$I:$I,Recipe2!$B:$B,I$38,Recipe2!$F:$F,Hazırlık!$F50)</f>
        <v>3</v>
      </c>
      <c r="J50" s="14">
        <f>SUMIFS(Recipe2!$H:$H,Recipe2!$B:$B,J$38,Recipe2!$F:$F,Hazırlık!$F50)/10+SUMIFS(Recipe2!$I:$I,Recipe2!$B:$B,J$38,Recipe2!$F:$F,Hazırlık!$F50)</f>
        <v>1</v>
      </c>
      <c r="K50" s="14">
        <f>SUMIFS(Recipe2!$H:$H,Recipe2!$B:$B,K$38,Recipe2!$F:$F,Hazırlık!$F50)/10+SUMIFS(Recipe2!$I:$I,Recipe2!$B:$B,K$38,Recipe2!$F:$F,Hazırlık!$F50)</f>
        <v>2.5</v>
      </c>
      <c r="L50" s="20">
        <f t="shared" si="10"/>
        <v>11</v>
      </c>
    </row>
    <row r="51" spans="5:12" x14ac:dyDescent="0.25">
      <c r="E51" s="8"/>
      <c r="F51" s="9" t="s">
        <v>53</v>
      </c>
      <c r="G51" s="14">
        <f>SUMIFS(Recipe2!$H:$H,Recipe2!$B:$B,G$38,Recipe2!$F:$F,Hazırlık!$F51)/10+SUMIFS(Recipe2!$I:$I,Recipe2!$B:$B,G$38,Recipe2!$F:$F,Hazırlık!$F51)</f>
        <v>0</v>
      </c>
      <c r="H51" s="14">
        <f>SUMIFS(Recipe2!$H:$H,Recipe2!$B:$B,H$38,Recipe2!$F:$F,Hazırlık!$F51)/10+SUMIFS(Recipe2!$I:$I,Recipe2!$B:$B,H$38,Recipe2!$F:$F,Hazırlık!$F51)</f>
        <v>3</v>
      </c>
      <c r="I51" s="14">
        <f>SUMIFS(Recipe2!$H:$H,Recipe2!$B:$B,I$38,Recipe2!$F:$F,Hazırlık!$F51)/10+SUMIFS(Recipe2!$I:$I,Recipe2!$B:$B,I$38,Recipe2!$F:$F,Hazırlık!$F51)</f>
        <v>1</v>
      </c>
      <c r="J51" s="14">
        <f>SUMIFS(Recipe2!$H:$H,Recipe2!$B:$B,J$38,Recipe2!$F:$F,Hazırlık!$F51)/10+SUMIFS(Recipe2!$I:$I,Recipe2!$B:$B,J$38,Recipe2!$F:$F,Hazırlık!$F51)</f>
        <v>1</v>
      </c>
      <c r="K51" s="14">
        <f>SUMIFS(Recipe2!$H:$H,Recipe2!$B:$B,K$38,Recipe2!$F:$F,Hazırlık!$F51)/10+SUMIFS(Recipe2!$I:$I,Recipe2!$B:$B,K$38,Recipe2!$F:$F,Hazırlık!$F51)</f>
        <v>2</v>
      </c>
      <c r="L51" s="20">
        <f t="shared" si="10"/>
        <v>7</v>
      </c>
    </row>
    <row r="52" spans="5:12" x14ac:dyDescent="0.25">
      <c r="E52" s="8"/>
      <c r="F52" s="9" t="s">
        <v>49</v>
      </c>
      <c r="G52" s="14">
        <f>SUMIFS(Recipe2!$H:$H,Recipe2!$B:$B,G$38,Recipe2!$F:$F,Hazırlık!$F52)/10+SUMIFS(Recipe2!$I:$I,Recipe2!$B:$B,G$38,Recipe2!$F:$F,Hazırlık!$F52)</f>
        <v>0.5</v>
      </c>
      <c r="H52" s="14">
        <f>SUMIFS(Recipe2!$H:$H,Recipe2!$B:$B,H$38,Recipe2!$F:$F,Hazırlık!$F52)/10+SUMIFS(Recipe2!$I:$I,Recipe2!$B:$B,H$38,Recipe2!$F:$F,Hazırlık!$F52)</f>
        <v>3</v>
      </c>
      <c r="I52" s="14">
        <f>SUMIFS(Recipe2!$H:$H,Recipe2!$B:$B,I$38,Recipe2!$F:$F,Hazırlık!$F52)/10+SUMIFS(Recipe2!$I:$I,Recipe2!$B:$B,I$38,Recipe2!$F:$F,Hazırlık!$F52)</f>
        <v>2</v>
      </c>
      <c r="J52" s="14">
        <f>SUMIFS(Recipe2!$H:$H,Recipe2!$B:$B,J$38,Recipe2!$F:$F,Hazırlık!$F52)/10+SUMIFS(Recipe2!$I:$I,Recipe2!$B:$B,J$38,Recipe2!$F:$F,Hazırlık!$F52)</f>
        <v>3</v>
      </c>
      <c r="K52" s="14">
        <f>SUMIFS(Recipe2!$H:$H,Recipe2!$B:$B,K$38,Recipe2!$F:$F,Hazırlık!$F52)/10+SUMIFS(Recipe2!$I:$I,Recipe2!$B:$B,K$38,Recipe2!$F:$F,Hazırlık!$F52)</f>
        <v>4</v>
      </c>
      <c r="L52" s="20">
        <f t="shared" si="10"/>
        <v>12.5</v>
      </c>
    </row>
    <row r="53" spans="5:12" x14ac:dyDescent="0.25">
      <c r="E53" s="8"/>
      <c r="F53" s="9" t="s">
        <v>18</v>
      </c>
      <c r="G53" s="14">
        <f>SUMIFS(Recipe2!$H:$H,Recipe2!$B:$B,G$38,Recipe2!$F:$F,Hazırlık!$F53)/10+SUMIFS(Recipe2!$I:$I,Recipe2!$B:$B,G$38,Recipe2!$F:$F,Hazırlık!$F53)</f>
        <v>8</v>
      </c>
      <c r="H53" s="14">
        <f>SUMIFS(Recipe2!$H:$H,Recipe2!$B:$B,H$38,Recipe2!$F:$F,Hazırlık!$F53)/10+SUMIFS(Recipe2!$I:$I,Recipe2!$B:$B,H$38,Recipe2!$F:$F,Hazırlık!$F53)</f>
        <v>13</v>
      </c>
      <c r="I53" s="14">
        <f>SUMIFS(Recipe2!$H:$H,Recipe2!$B:$B,I$38,Recipe2!$F:$F,Hazırlık!$F53)/10+SUMIFS(Recipe2!$I:$I,Recipe2!$B:$B,I$38,Recipe2!$F:$F,Hazırlık!$F53)</f>
        <v>6</v>
      </c>
      <c r="J53" s="14">
        <f>SUMIFS(Recipe2!$H:$H,Recipe2!$B:$B,J$38,Recipe2!$F:$F,Hazırlık!$F53)/10+SUMIFS(Recipe2!$I:$I,Recipe2!$B:$B,J$38,Recipe2!$F:$F,Hazırlık!$F53)</f>
        <v>2</v>
      </c>
      <c r="K53" s="14">
        <f>SUMIFS(Recipe2!$H:$H,Recipe2!$B:$B,K$38,Recipe2!$F:$F,Hazırlık!$F53)/10+SUMIFS(Recipe2!$I:$I,Recipe2!$B:$B,K$38,Recipe2!$F:$F,Hazırlık!$F53)</f>
        <v>3</v>
      </c>
      <c r="L53" s="20">
        <f t="shared" si="10"/>
        <v>32</v>
      </c>
    </row>
    <row r="54" spans="5:12" x14ac:dyDescent="0.25">
      <c r="E54" s="8"/>
      <c r="F54" s="9" t="s">
        <v>23</v>
      </c>
      <c r="G54" s="14">
        <f>SUMIFS(Recipe2!$H:$H,Recipe2!$B:$B,G$38,Recipe2!$F:$F,Hazırlık!$F54)/10+SUMIFS(Recipe2!$I:$I,Recipe2!$B:$B,G$38,Recipe2!$F:$F,Hazırlık!$F54)</f>
        <v>2.5</v>
      </c>
      <c r="H54" s="14">
        <f>SUMIFS(Recipe2!$H:$H,Recipe2!$B:$B,H$38,Recipe2!$F:$F,Hazırlık!$F54)/10+SUMIFS(Recipe2!$I:$I,Recipe2!$B:$B,H$38,Recipe2!$F:$F,Hazırlık!$F54)</f>
        <v>0</v>
      </c>
      <c r="I54" s="14">
        <f>SUMIFS(Recipe2!$H:$H,Recipe2!$B:$B,I$38,Recipe2!$F:$F,Hazırlık!$F54)/10+SUMIFS(Recipe2!$I:$I,Recipe2!$B:$B,I$38,Recipe2!$F:$F,Hazırlık!$F54)</f>
        <v>0</v>
      </c>
      <c r="J54" s="14">
        <f>SUMIFS(Recipe2!$H:$H,Recipe2!$B:$B,J$38,Recipe2!$F:$F,Hazırlık!$F54)/10+SUMIFS(Recipe2!$I:$I,Recipe2!$B:$B,J$38,Recipe2!$F:$F,Hazırlık!$F54)</f>
        <v>0</v>
      </c>
      <c r="K54" s="14">
        <f>SUMIFS(Recipe2!$H:$H,Recipe2!$B:$B,K$38,Recipe2!$F:$F,Hazırlık!$F54)/10+SUMIFS(Recipe2!$I:$I,Recipe2!$B:$B,K$38,Recipe2!$F:$F,Hazırlık!$F54)</f>
        <v>4.5</v>
      </c>
      <c r="L54" s="20">
        <f t="shared" si="10"/>
        <v>7</v>
      </c>
    </row>
    <row r="55" spans="5:12" x14ac:dyDescent="0.25">
      <c r="E55" s="8"/>
      <c r="F55" s="9" t="s">
        <v>27</v>
      </c>
      <c r="G55" s="14">
        <f>SUMIFS(Recipe2!$H:$H,Recipe2!$B:$B,G$38,Recipe2!$F:$F,Hazırlık!$F55)/10+SUMIFS(Recipe2!$I:$I,Recipe2!$B:$B,G$38,Recipe2!$F:$F,Hazırlık!$F55)</f>
        <v>4.5</v>
      </c>
      <c r="H55" s="14">
        <f>SUMIFS(Recipe2!$H:$H,Recipe2!$B:$B,H$38,Recipe2!$F:$F,Hazırlık!$F55)/10+SUMIFS(Recipe2!$I:$I,Recipe2!$B:$B,H$38,Recipe2!$F:$F,Hazırlık!$F55)</f>
        <v>1</v>
      </c>
      <c r="I55" s="14">
        <f>SUMIFS(Recipe2!$H:$H,Recipe2!$B:$B,I$38,Recipe2!$F:$F,Hazırlık!$F55)/10+SUMIFS(Recipe2!$I:$I,Recipe2!$B:$B,I$38,Recipe2!$F:$F,Hazırlık!$F55)</f>
        <v>1</v>
      </c>
      <c r="J55" s="14">
        <f>SUMIFS(Recipe2!$H:$H,Recipe2!$B:$B,J$38,Recipe2!$F:$F,Hazırlık!$F55)/10+SUMIFS(Recipe2!$I:$I,Recipe2!$B:$B,J$38,Recipe2!$F:$F,Hazırlık!$F55)</f>
        <v>1</v>
      </c>
      <c r="K55" s="14">
        <f>SUMIFS(Recipe2!$H:$H,Recipe2!$B:$B,K$38,Recipe2!$F:$F,Hazırlık!$F55)/10+SUMIFS(Recipe2!$I:$I,Recipe2!$B:$B,K$38,Recipe2!$F:$F,Hazırlık!$F55)</f>
        <v>5.5</v>
      </c>
      <c r="L55" s="20">
        <f t="shared" si="10"/>
        <v>13</v>
      </c>
    </row>
    <row r="56" spans="5:12" x14ac:dyDescent="0.25">
      <c r="E56" s="8"/>
      <c r="F56" s="9" t="s">
        <v>55</v>
      </c>
      <c r="G56" s="14">
        <f>SUMIFS(Recipe2!$H:$H,Recipe2!$B:$B,G$38,Recipe2!$F:$F,Hazırlık!$F56)/10+SUMIFS(Recipe2!$I:$I,Recipe2!$B:$B,G$38,Recipe2!$F:$F,Hazırlık!$F56)</f>
        <v>2.5</v>
      </c>
      <c r="H56" s="14">
        <f>SUMIFS(Recipe2!$H:$H,Recipe2!$B:$B,H$38,Recipe2!$F:$F,Hazırlık!$F56)/10+SUMIFS(Recipe2!$I:$I,Recipe2!$B:$B,H$38,Recipe2!$F:$F,Hazırlık!$F56)</f>
        <v>2</v>
      </c>
      <c r="I56" s="14">
        <f>SUMIFS(Recipe2!$H:$H,Recipe2!$B:$B,I$38,Recipe2!$F:$F,Hazırlık!$F56)/10+SUMIFS(Recipe2!$I:$I,Recipe2!$B:$B,I$38,Recipe2!$F:$F,Hazırlık!$F56)</f>
        <v>0</v>
      </c>
      <c r="J56" s="14">
        <f>SUMIFS(Recipe2!$H:$H,Recipe2!$B:$B,J$38,Recipe2!$F:$F,Hazırlık!$F56)/10+SUMIFS(Recipe2!$I:$I,Recipe2!$B:$B,J$38,Recipe2!$F:$F,Hazırlık!$F56)</f>
        <v>2</v>
      </c>
      <c r="K56" s="14">
        <f>SUMIFS(Recipe2!$H:$H,Recipe2!$B:$B,K$38,Recipe2!$F:$F,Hazırlık!$F56)/10+SUMIFS(Recipe2!$I:$I,Recipe2!$B:$B,K$38,Recipe2!$F:$F,Hazırlık!$F56)</f>
        <v>3.5</v>
      </c>
      <c r="L56" s="20">
        <f t="shared" si="10"/>
        <v>10</v>
      </c>
    </row>
    <row r="57" spans="5:12" x14ac:dyDescent="0.25">
      <c r="E57" s="8"/>
      <c r="F57" s="9" t="s">
        <v>25</v>
      </c>
      <c r="G57" s="14">
        <f>SUMIFS(Recipe2!$H:$H,Recipe2!$B:$B,G$38,Recipe2!$F:$F,Hazırlık!$F57)/10+SUMIFS(Recipe2!$I:$I,Recipe2!$B:$B,G$38,Recipe2!$F:$F,Hazırlık!$F57)</f>
        <v>6</v>
      </c>
      <c r="H57" s="14">
        <f>SUMIFS(Recipe2!$H:$H,Recipe2!$B:$B,H$38,Recipe2!$F:$F,Hazırlık!$F57)/10+SUMIFS(Recipe2!$I:$I,Recipe2!$B:$B,H$38,Recipe2!$F:$F,Hazırlık!$F57)</f>
        <v>1.5</v>
      </c>
      <c r="I57" s="14">
        <f>SUMIFS(Recipe2!$H:$H,Recipe2!$B:$B,I$38,Recipe2!$F:$F,Hazırlık!$F57)/10+SUMIFS(Recipe2!$I:$I,Recipe2!$B:$B,I$38,Recipe2!$F:$F,Hazırlık!$F57)</f>
        <v>0</v>
      </c>
      <c r="J57" s="14">
        <f>SUMIFS(Recipe2!$H:$H,Recipe2!$B:$B,J$38,Recipe2!$F:$F,Hazırlık!$F57)/10+SUMIFS(Recipe2!$I:$I,Recipe2!$B:$B,J$38,Recipe2!$F:$F,Hazırlık!$F57)</f>
        <v>1</v>
      </c>
      <c r="K57" s="14">
        <f>SUMIFS(Recipe2!$H:$H,Recipe2!$B:$B,K$38,Recipe2!$F:$F,Hazırlık!$F57)/10+SUMIFS(Recipe2!$I:$I,Recipe2!$B:$B,K$38,Recipe2!$F:$F,Hazırlık!$F57)</f>
        <v>4</v>
      </c>
      <c r="L57" s="20">
        <f t="shared" si="10"/>
        <v>12.5</v>
      </c>
    </row>
    <row r="58" spans="5:12" x14ac:dyDescent="0.25">
      <c r="E58" s="8"/>
      <c r="F58" s="9" t="s">
        <v>41</v>
      </c>
      <c r="G58" s="14">
        <f>SUMIFS(Recipe2!$H:$H,Recipe2!$B:$B,G$38,Recipe2!$F:$F,Hazırlık!$F58)/10+SUMIFS(Recipe2!$I:$I,Recipe2!$B:$B,G$38,Recipe2!$F:$F,Hazırlık!$F58)</f>
        <v>0</v>
      </c>
      <c r="H58" s="14">
        <f>SUMIFS(Recipe2!$H:$H,Recipe2!$B:$B,H$38,Recipe2!$F:$F,Hazırlık!$F58)/10+SUMIFS(Recipe2!$I:$I,Recipe2!$B:$B,H$38,Recipe2!$F:$F,Hazırlık!$F58)</f>
        <v>0</v>
      </c>
      <c r="I58" s="14">
        <f>SUMIFS(Recipe2!$H:$H,Recipe2!$B:$B,I$38,Recipe2!$F:$F,Hazırlık!$F58)/10+SUMIFS(Recipe2!$I:$I,Recipe2!$B:$B,I$38,Recipe2!$F:$F,Hazırlık!$F58)</f>
        <v>0</v>
      </c>
      <c r="J58" s="14">
        <f>SUMIFS(Recipe2!$H:$H,Recipe2!$B:$B,J$38,Recipe2!$F:$F,Hazırlık!$F58)/10+SUMIFS(Recipe2!$I:$I,Recipe2!$B:$B,J$38,Recipe2!$F:$F,Hazırlık!$F58)</f>
        <v>0</v>
      </c>
      <c r="K58" s="14">
        <f>SUMIFS(Recipe2!$H:$H,Recipe2!$B:$B,K$38,Recipe2!$F:$F,Hazırlık!$F58)/10+SUMIFS(Recipe2!$I:$I,Recipe2!$B:$B,K$38,Recipe2!$F:$F,Hazırlık!$F58)</f>
        <v>0</v>
      </c>
      <c r="L58" s="20">
        <f t="shared" si="10"/>
        <v>0</v>
      </c>
    </row>
    <row r="59" spans="5:12" x14ac:dyDescent="0.25">
      <c r="E59" s="8"/>
      <c r="F59" s="9" t="s">
        <v>29</v>
      </c>
      <c r="G59" s="14">
        <f>SUMIFS(Recipe2!$H:$H,Recipe2!$B:$B,G$38,Recipe2!$F:$F,Hazırlık!$F59)/10+SUMIFS(Recipe2!$I:$I,Recipe2!$B:$B,G$38,Recipe2!$F:$F,Hazırlık!$F59)</f>
        <v>6</v>
      </c>
      <c r="H59" s="14">
        <f>SUMIFS(Recipe2!$H:$H,Recipe2!$B:$B,H$38,Recipe2!$F:$F,Hazırlık!$F59)/10+SUMIFS(Recipe2!$I:$I,Recipe2!$B:$B,H$38,Recipe2!$F:$F,Hazırlık!$F59)</f>
        <v>3</v>
      </c>
      <c r="I59" s="14">
        <f>SUMIFS(Recipe2!$H:$H,Recipe2!$B:$B,I$38,Recipe2!$F:$F,Hazırlık!$F59)/10+SUMIFS(Recipe2!$I:$I,Recipe2!$B:$B,I$38,Recipe2!$F:$F,Hazırlık!$F59)</f>
        <v>1</v>
      </c>
      <c r="J59" s="14">
        <f>SUMIFS(Recipe2!$H:$H,Recipe2!$B:$B,J$38,Recipe2!$F:$F,Hazırlık!$F59)/10+SUMIFS(Recipe2!$I:$I,Recipe2!$B:$B,J$38,Recipe2!$F:$F,Hazırlık!$F59)</f>
        <v>1</v>
      </c>
      <c r="K59" s="14">
        <f>SUMIFS(Recipe2!$H:$H,Recipe2!$B:$B,K$38,Recipe2!$F:$F,Hazırlık!$F59)/10+SUMIFS(Recipe2!$I:$I,Recipe2!$B:$B,K$38,Recipe2!$F:$F,Hazırlık!$F59)</f>
        <v>5</v>
      </c>
      <c r="L59" s="20">
        <f t="shared" si="10"/>
        <v>16</v>
      </c>
    </row>
    <row r="60" spans="5:12" x14ac:dyDescent="0.25">
      <c r="E60" s="8"/>
      <c r="F60" s="9" t="s">
        <v>57</v>
      </c>
      <c r="G60" s="14">
        <f>SUMIFS(Recipe2!$H:$H,Recipe2!$B:$B,G$38,Recipe2!$F:$F,Hazırlık!$F60)/10+SUMIFS(Recipe2!$I:$I,Recipe2!$B:$B,G$38,Recipe2!$F:$F,Hazırlık!$F60)</f>
        <v>0</v>
      </c>
      <c r="H60" s="14">
        <f>SUMIFS(Recipe2!$H:$H,Recipe2!$B:$B,H$38,Recipe2!$F:$F,Hazırlık!$F60)/10+SUMIFS(Recipe2!$I:$I,Recipe2!$B:$B,H$38,Recipe2!$F:$F,Hazırlık!$F60)</f>
        <v>0</v>
      </c>
      <c r="I60" s="14">
        <f>SUMIFS(Recipe2!$H:$H,Recipe2!$B:$B,I$38,Recipe2!$F:$F,Hazırlık!$F60)/10+SUMIFS(Recipe2!$I:$I,Recipe2!$B:$B,I$38,Recipe2!$F:$F,Hazırlık!$F60)</f>
        <v>0</v>
      </c>
      <c r="J60" s="14">
        <f>SUMIFS(Recipe2!$H:$H,Recipe2!$B:$B,J$38,Recipe2!$F:$F,Hazırlık!$F60)/10+SUMIFS(Recipe2!$I:$I,Recipe2!$B:$B,J$38,Recipe2!$F:$F,Hazırlık!$F60)</f>
        <v>0</v>
      </c>
      <c r="K60" s="14">
        <f>SUMIFS(Recipe2!$H:$H,Recipe2!$B:$B,K$38,Recipe2!$F:$F,Hazırlık!$F60)/10+SUMIFS(Recipe2!$I:$I,Recipe2!$B:$B,K$38,Recipe2!$F:$F,Hazırlık!$F60)</f>
        <v>0</v>
      </c>
      <c r="L60" s="20">
        <f t="shared" si="10"/>
        <v>0</v>
      </c>
    </row>
    <row r="61" spans="5:12" x14ac:dyDescent="0.25">
      <c r="E61" s="8"/>
      <c r="F61" s="9" t="s">
        <v>67</v>
      </c>
      <c r="G61" s="14">
        <f>SUMIFS(Recipe2!$H:$H,Recipe2!$B:$B,G$38,Recipe2!$F:$F,Hazırlık!$F61)/10+SUMIFS(Recipe2!$I:$I,Recipe2!$B:$B,G$38,Recipe2!$F:$F,Hazırlık!$F61)</f>
        <v>4</v>
      </c>
      <c r="H61" s="14">
        <f>SUMIFS(Recipe2!$H:$H,Recipe2!$B:$B,H$38,Recipe2!$F:$F,Hazırlık!$F61)/10+SUMIFS(Recipe2!$I:$I,Recipe2!$B:$B,H$38,Recipe2!$F:$F,Hazırlık!$F61)</f>
        <v>5</v>
      </c>
      <c r="I61" s="14">
        <f>SUMIFS(Recipe2!$H:$H,Recipe2!$B:$B,I$38,Recipe2!$F:$F,Hazırlık!$F61)/10+SUMIFS(Recipe2!$I:$I,Recipe2!$B:$B,I$38,Recipe2!$F:$F,Hazırlık!$F61)</f>
        <v>1</v>
      </c>
      <c r="J61" s="14">
        <f>SUMIFS(Recipe2!$H:$H,Recipe2!$B:$B,J$38,Recipe2!$F:$F,Hazırlık!$F61)/10+SUMIFS(Recipe2!$I:$I,Recipe2!$B:$B,J$38,Recipe2!$F:$F,Hazırlık!$F61)</f>
        <v>0.2</v>
      </c>
      <c r="K61" s="14">
        <f>SUMIFS(Recipe2!$H:$H,Recipe2!$B:$B,K$38,Recipe2!$F:$F,Hazırlık!$F61)/10+SUMIFS(Recipe2!$I:$I,Recipe2!$B:$B,K$38,Recipe2!$F:$F,Hazırlık!$F61)</f>
        <v>1</v>
      </c>
      <c r="L61" s="20">
        <f t="shared" si="10"/>
        <v>11.2</v>
      </c>
    </row>
    <row r="62" spans="5:12" x14ac:dyDescent="0.25">
      <c r="E62" s="8"/>
      <c r="F62" s="9" t="s">
        <v>31</v>
      </c>
      <c r="G62" s="14">
        <f>SUMIFS(Recipe2!$H:$H,Recipe2!$B:$B,G$38,Recipe2!$F:$F,Hazırlık!$F62)/10+SUMIFS(Recipe2!$I:$I,Recipe2!$B:$B,G$38,Recipe2!$F:$F,Hazırlık!$F62)</f>
        <v>1.5</v>
      </c>
      <c r="H62" s="14">
        <f>SUMIFS(Recipe2!$H:$H,Recipe2!$B:$B,H$38,Recipe2!$F:$F,Hazırlık!$F62)/10+SUMIFS(Recipe2!$I:$I,Recipe2!$B:$B,H$38,Recipe2!$F:$F,Hazırlık!$F62)</f>
        <v>0</v>
      </c>
      <c r="I62" s="14">
        <f>SUMIFS(Recipe2!$H:$H,Recipe2!$B:$B,I$38,Recipe2!$F:$F,Hazırlık!$F62)/10+SUMIFS(Recipe2!$I:$I,Recipe2!$B:$B,I$38,Recipe2!$F:$F,Hazırlık!$F62)</f>
        <v>0</v>
      </c>
      <c r="J62" s="14">
        <f>SUMIFS(Recipe2!$H:$H,Recipe2!$B:$B,J$38,Recipe2!$F:$F,Hazırlık!$F62)/10+SUMIFS(Recipe2!$I:$I,Recipe2!$B:$B,J$38,Recipe2!$F:$F,Hazırlık!$F62)</f>
        <v>1</v>
      </c>
      <c r="K62" s="14">
        <f>SUMIFS(Recipe2!$H:$H,Recipe2!$B:$B,K$38,Recipe2!$F:$F,Hazırlık!$F62)/10+SUMIFS(Recipe2!$I:$I,Recipe2!$B:$B,K$38,Recipe2!$F:$F,Hazırlık!$F62)</f>
        <v>2.5</v>
      </c>
      <c r="L62" s="20">
        <f t="shared" si="10"/>
        <v>5</v>
      </c>
    </row>
    <row r="63" spans="5:12" x14ac:dyDescent="0.25">
      <c r="E63" s="8"/>
      <c r="F63" s="9" t="s">
        <v>47</v>
      </c>
      <c r="G63" s="14">
        <f>SUMIFS(Recipe2!$H:$H,Recipe2!$B:$B,G$38,Recipe2!$F:$F,Hazırlık!$F63)/10+SUMIFS(Recipe2!$I:$I,Recipe2!$B:$B,G$38,Recipe2!$F:$F,Hazırlık!$F63)</f>
        <v>3.5</v>
      </c>
      <c r="H63" s="14">
        <f>SUMIFS(Recipe2!$H:$H,Recipe2!$B:$B,H$38,Recipe2!$F:$F,Hazırlık!$F63)/10+SUMIFS(Recipe2!$I:$I,Recipe2!$B:$B,H$38,Recipe2!$F:$F,Hazırlık!$F63)</f>
        <v>1.5</v>
      </c>
      <c r="I63" s="14">
        <f>SUMIFS(Recipe2!$H:$H,Recipe2!$B:$B,I$38,Recipe2!$F:$F,Hazırlık!$F63)/10+SUMIFS(Recipe2!$I:$I,Recipe2!$B:$B,I$38,Recipe2!$F:$F,Hazırlık!$F63)</f>
        <v>0</v>
      </c>
      <c r="J63" s="14">
        <f>SUMIFS(Recipe2!$H:$H,Recipe2!$B:$B,J$38,Recipe2!$F:$F,Hazırlık!$F63)/10+SUMIFS(Recipe2!$I:$I,Recipe2!$B:$B,J$38,Recipe2!$F:$F,Hazırlık!$F63)</f>
        <v>1</v>
      </c>
      <c r="K63" s="14">
        <f>SUMIFS(Recipe2!$H:$H,Recipe2!$B:$B,K$38,Recipe2!$F:$F,Hazırlık!$F63)/10+SUMIFS(Recipe2!$I:$I,Recipe2!$B:$B,K$38,Recipe2!$F:$F,Hazırlık!$F63)</f>
        <v>2.5</v>
      </c>
      <c r="L63" s="20">
        <f t="shared" si="10"/>
        <v>8.5</v>
      </c>
    </row>
    <row r="64" spans="5:12" x14ac:dyDescent="0.25">
      <c r="E64" s="8"/>
      <c r="F64" s="9" t="s">
        <v>171</v>
      </c>
      <c r="G64" s="14">
        <f>SUMIFS(Recipe2!$H:$H,Recipe2!$B:$B,G$38,Recipe2!$F:$F,Hazırlık!$F64)/10+SUMIFS(Recipe2!$I:$I,Recipe2!$B:$B,G$38,Recipe2!$F:$F,Hazırlık!$F64)</f>
        <v>0</v>
      </c>
      <c r="H64" s="14">
        <f>SUMIFS(Recipe2!$H:$H,Recipe2!$B:$B,H$38,Recipe2!$F:$F,Hazırlık!$F64)/10+SUMIFS(Recipe2!$I:$I,Recipe2!$B:$B,H$38,Recipe2!$F:$F,Hazırlık!$F64)</f>
        <v>0</v>
      </c>
      <c r="I64" s="14">
        <f>SUMIFS(Recipe2!$H:$H,Recipe2!$B:$B,I$38,Recipe2!$F:$F,Hazırlık!$F64)/10+SUMIFS(Recipe2!$I:$I,Recipe2!$B:$B,I$38,Recipe2!$F:$F,Hazırlık!$F64)</f>
        <v>0</v>
      </c>
      <c r="J64" s="14">
        <f>SUMIFS(Recipe2!$H:$H,Recipe2!$B:$B,J$38,Recipe2!$F:$F,Hazırlık!$F64)/10+SUMIFS(Recipe2!$I:$I,Recipe2!$B:$B,J$38,Recipe2!$F:$F,Hazırlık!$F64)</f>
        <v>0</v>
      </c>
      <c r="K64" s="14">
        <f>SUMIFS(Recipe2!$H:$H,Recipe2!$B:$B,K$38,Recipe2!$F:$F,Hazırlık!$F64)/10+SUMIFS(Recipe2!$I:$I,Recipe2!$B:$B,K$38,Recipe2!$F:$F,Hazırlık!$F64)</f>
        <v>0.3</v>
      </c>
      <c r="L64" s="20">
        <f t="shared" si="10"/>
        <v>0.3</v>
      </c>
    </row>
    <row r="65" spans="5:12" x14ac:dyDescent="0.25">
      <c r="E65" s="8"/>
      <c r="F65" s="9" t="s">
        <v>380</v>
      </c>
      <c r="G65" s="15">
        <f>SUM(G39:G64)</f>
        <v>219.5</v>
      </c>
      <c r="H65" s="15">
        <f t="shared" ref="H65" si="11">SUM(H39:H64)</f>
        <v>130</v>
      </c>
      <c r="I65" s="15">
        <f t="shared" ref="I65" si="12">SUM(I39:I64)</f>
        <v>77.5</v>
      </c>
      <c r="J65" s="15">
        <f t="shared" ref="J65:L65" si="13">SUM(J39:J64)</f>
        <v>67.2</v>
      </c>
      <c r="K65" s="15">
        <f t="shared" si="13"/>
        <v>159.10000000000002</v>
      </c>
      <c r="L65" s="15">
        <f t="shared" si="13"/>
        <v>653.29999999999995</v>
      </c>
    </row>
    <row r="66" spans="5:12" ht="15.75" thickBot="1" x14ac:dyDescent="0.3">
      <c r="E66" s="11"/>
      <c r="F66" s="12"/>
      <c r="G66" s="12"/>
      <c r="H66" s="12"/>
      <c r="I66" s="12"/>
      <c r="J66" s="12"/>
      <c r="K66" s="12"/>
      <c r="L66" s="13"/>
    </row>
  </sheetData>
  <phoneticPr fontId="18" type="noConversion"/>
  <dataValidations disablePrompts="1" count="1">
    <dataValidation type="list" allowBlank="1" showInputMessage="1" showErrorMessage="1" sqref="F3 O3" xr:uid="{81570941-D259-47FC-90F2-8AA9D9E05641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6251-1C69-4311-9E11-AFD433A96992}">
  <dimension ref="C1:K40"/>
  <sheetViews>
    <sheetView topLeftCell="A8" zoomScale="40" zoomScaleNormal="40" workbookViewId="0">
      <selection activeCell="O33" sqref="O33"/>
    </sheetView>
  </sheetViews>
  <sheetFormatPr defaultRowHeight="15" x14ac:dyDescent="0.25"/>
  <cols>
    <col min="3" max="3" width="109.85546875" bestFit="1" customWidth="1"/>
    <col min="4" max="4" width="11.7109375" bestFit="1" customWidth="1"/>
    <col min="5" max="5" width="12.28515625" bestFit="1" customWidth="1"/>
    <col min="9" max="9" width="109.85546875" bestFit="1" customWidth="1"/>
    <col min="10" max="10" width="12.7109375" bestFit="1" customWidth="1"/>
    <col min="11" max="11" width="13" bestFit="1" customWidth="1"/>
    <col min="12" max="12" width="9.140625" customWidth="1"/>
  </cols>
  <sheetData>
    <row r="1" spans="3:5" ht="15.75" thickBot="1" x14ac:dyDescent="0.3"/>
    <row r="2" spans="3:5" ht="43.5" thickBot="1" x14ac:dyDescent="0.3">
      <c r="C2" s="23" t="s">
        <v>389</v>
      </c>
      <c r="D2" s="24" t="s">
        <v>390</v>
      </c>
      <c r="E2" s="23" t="s">
        <v>391</v>
      </c>
    </row>
    <row r="3" spans="3:5" ht="43.5" thickBot="1" x14ac:dyDescent="0.3">
      <c r="C3" s="25">
        <v>36</v>
      </c>
      <c r="D3" s="26"/>
      <c r="E3" s="27"/>
    </row>
    <row r="4" spans="3:5" ht="43.5" thickBot="1" x14ac:dyDescent="0.3">
      <c r="C4" s="28" t="str">
        <f>+Recipe2!E20</f>
        <v>KÖŞEM BAKKAL - HASAN YILMAZ</v>
      </c>
      <c r="D4" s="29">
        <v>36</v>
      </c>
      <c r="E4" s="30"/>
    </row>
    <row r="5" spans="3:5" ht="43.5" thickBot="1" x14ac:dyDescent="0.3">
      <c r="C5" s="25" t="s">
        <v>176</v>
      </c>
      <c r="D5" s="26"/>
      <c r="E5" s="27"/>
    </row>
    <row r="6" spans="3:5" ht="43.5" thickBot="1" x14ac:dyDescent="0.3">
      <c r="C6" s="28" t="str">
        <f>+Recipe2!B20</f>
        <v>TERR030709-Şeker-Tekke</v>
      </c>
      <c r="D6" s="29"/>
      <c r="E6" s="30"/>
    </row>
    <row r="7" spans="3:5" ht="43.5" thickBot="1" x14ac:dyDescent="0.3">
      <c r="C7" s="25" t="s">
        <v>52</v>
      </c>
      <c r="D7" s="26">
        <v>2</v>
      </c>
      <c r="E7" s="27"/>
    </row>
    <row r="8" spans="3:5" ht="43.5" thickBot="1" x14ac:dyDescent="0.3">
      <c r="C8" s="25" t="s">
        <v>66</v>
      </c>
      <c r="D8" s="26">
        <v>2</v>
      </c>
      <c r="E8" s="27"/>
    </row>
    <row r="9" spans="3:5" ht="43.5" thickBot="1" x14ac:dyDescent="0.3">
      <c r="C9" s="25"/>
      <c r="D9" s="26"/>
      <c r="E9" s="27"/>
    </row>
    <row r="10" spans="3:5" ht="43.5" thickBot="1" x14ac:dyDescent="0.3">
      <c r="C10" s="25"/>
      <c r="D10" s="26"/>
      <c r="E10" s="27"/>
    </row>
    <row r="11" spans="3:5" ht="43.5" thickBot="1" x14ac:dyDescent="0.3">
      <c r="C11" s="25"/>
      <c r="D11" s="26"/>
      <c r="E11" s="27"/>
    </row>
    <row r="12" spans="3:5" ht="43.5" thickBot="1" x14ac:dyDescent="0.3">
      <c r="C12" s="25"/>
      <c r="D12" s="26"/>
      <c r="E12" s="27"/>
    </row>
    <row r="13" spans="3:5" ht="43.5" thickBot="1" x14ac:dyDescent="0.3">
      <c r="C13" s="25"/>
      <c r="D13" s="26"/>
      <c r="E13" s="27"/>
    </row>
    <row r="14" spans="3:5" ht="43.5" thickBot="1" x14ac:dyDescent="0.3">
      <c r="C14" s="25"/>
      <c r="D14" s="26"/>
      <c r="E14" s="27"/>
    </row>
    <row r="15" spans="3:5" ht="43.5" thickBot="1" x14ac:dyDescent="0.3">
      <c r="C15" s="25"/>
      <c r="D15" s="26"/>
      <c r="E15" s="27"/>
    </row>
    <row r="16" spans="3:5" ht="43.5" thickBot="1" x14ac:dyDescent="0.3">
      <c r="C16" s="25"/>
      <c r="D16" s="26"/>
      <c r="E16" s="27"/>
    </row>
    <row r="17" spans="3:11" ht="43.5" thickBot="1" x14ac:dyDescent="0.3">
      <c r="C17" s="25"/>
      <c r="D17" s="26"/>
      <c r="E17" s="27"/>
    </row>
    <row r="18" spans="3:11" ht="43.5" thickBot="1" x14ac:dyDescent="0.3">
      <c r="C18" s="25"/>
      <c r="D18" s="26"/>
      <c r="E18" s="27"/>
    </row>
    <row r="19" spans="3:11" ht="43.5" thickBot="1" x14ac:dyDescent="0.3">
      <c r="C19" s="25" t="s">
        <v>381</v>
      </c>
      <c r="D19" s="26">
        <f>SUM(D7:D18)</f>
        <v>4</v>
      </c>
      <c r="E19" s="26">
        <f>SUM(E7:E18)</f>
        <v>0</v>
      </c>
    </row>
    <row r="22" spans="3:11" ht="15.75" thickBot="1" x14ac:dyDescent="0.3"/>
    <row r="23" spans="3:11" ht="43.5" thickBot="1" x14ac:dyDescent="0.3">
      <c r="C23" s="23" t="s">
        <v>389</v>
      </c>
      <c r="D23" s="24" t="s">
        <v>390</v>
      </c>
      <c r="E23" s="23" t="s">
        <v>391</v>
      </c>
      <c r="I23" s="23" t="s">
        <v>389</v>
      </c>
      <c r="J23" s="24" t="s">
        <v>390</v>
      </c>
      <c r="K23" s="23" t="s">
        <v>391</v>
      </c>
    </row>
    <row r="24" spans="3:11" ht="43.5" thickBot="1" x14ac:dyDescent="0.3">
      <c r="C24" s="25">
        <v>24</v>
      </c>
      <c r="D24" s="26"/>
      <c r="E24" s="27"/>
      <c r="I24" s="25">
        <v>24</v>
      </c>
      <c r="J24" s="26"/>
      <c r="K24" s="27"/>
    </row>
    <row r="25" spans="3:11" ht="43.5" thickBot="1" x14ac:dyDescent="0.3">
      <c r="C25" s="28" t="s">
        <v>372</v>
      </c>
      <c r="D25" s="29">
        <v>1</v>
      </c>
      <c r="E25" s="30"/>
      <c r="I25" s="28" t="s">
        <v>372</v>
      </c>
      <c r="J25" s="31" t="s">
        <v>392</v>
      </c>
      <c r="K25" s="30"/>
    </row>
    <row r="26" spans="3:11" ht="43.5" thickBot="1" x14ac:dyDescent="0.3">
      <c r="C26" s="25" t="s">
        <v>371</v>
      </c>
      <c r="D26" s="26"/>
      <c r="E26" s="27"/>
      <c r="I26" s="25" t="s">
        <v>371</v>
      </c>
      <c r="J26" s="26"/>
      <c r="K26" s="27"/>
    </row>
    <row r="27" spans="3:11" ht="43.5" thickBot="1" x14ac:dyDescent="0.3">
      <c r="C27" s="28" t="s">
        <v>90</v>
      </c>
      <c r="D27" s="29"/>
      <c r="E27" s="30"/>
      <c r="I27" s="28" t="s">
        <v>90</v>
      </c>
      <c r="J27" s="29"/>
      <c r="K27" s="30"/>
    </row>
    <row r="28" spans="3:11" ht="43.5" thickBot="1" x14ac:dyDescent="0.3">
      <c r="C28" s="25" t="s">
        <v>19</v>
      </c>
      <c r="D28" s="26">
        <v>2</v>
      </c>
      <c r="E28" s="27">
        <v>0</v>
      </c>
      <c r="I28" s="25" t="s">
        <v>19</v>
      </c>
      <c r="J28" s="26">
        <v>2</v>
      </c>
      <c r="K28" s="27">
        <v>0</v>
      </c>
    </row>
    <row r="29" spans="3:11" ht="43.5" thickBot="1" x14ac:dyDescent="0.3">
      <c r="C29" s="25" t="s">
        <v>80</v>
      </c>
      <c r="D29" s="26">
        <v>2</v>
      </c>
      <c r="E29" s="27">
        <v>0</v>
      </c>
      <c r="I29" s="25" t="s">
        <v>80</v>
      </c>
      <c r="J29" s="26">
        <v>2</v>
      </c>
      <c r="K29" s="27">
        <v>0</v>
      </c>
    </row>
    <row r="30" spans="3:11" ht="43.5" thickBot="1" x14ac:dyDescent="0.3">
      <c r="C30" s="25" t="s">
        <v>46</v>
      </c>
      <c r="D30" s="26">
        <v>8</v>
      </c>
      <c r="E30" s="27">
        <v>0</v>
      </c>
      <c r="I30" s="25" t="s">
        <v>46</v>
      </c>
      <c r="J30" s="26">
        <v>8</v>
      </c>
      <c r="K30" s="27">
        <v>0</v>
      </c>
    </row>
    <row r="31" spans="3:11" ht="43.5" thickBot="1" x14ac:dyDescent="0.3">
      <c r="C31" s="25" t="s">
        <v>52</v>
      </c>
      <c r="D31" s="26">
        <v>10</v>
      </c>
      <c r="E31" s="27">
        <v>0</v>
      </c>
      <c r="I31" s="25" t="s">
        <v>52</v>
      </c>
      <c r="J31" s="32">
        <v>15</v>
      </c>
      <c r="K31" s="27">
        <v>0</v>
      </c>
    </row>
    <row r="32" spans="3:11" ht="43.5" thickBot="1" x14ac:dyDescent="0.3">
      <c r="C32" s="25" t="s">
        <v>56</v>
      </c>
      <c r="D32" s="26">
        <v>1</v>
      </c>
      <c r="E32" s="27">
        <v>0</v>
      </c>
      <c r="I32" s="25" t="s">
        <v>56</v>
      </c>
      <c r="J32" s="26">
        <v>1</v>
      </c>
      <c r="K32" s="27">
        <v>0</v>
      </c>
    </row>
    <row r="33" spans="3:11" ht="43.5" thickBot="1" x14ac:dyDescent="0.3">
      <c r="C33" s="25" t="s">
        <v>60</v>
      </c>
      <c r="D33" s="26">
        <v>8</v>
      </c>
      <c r="E33" s="27">
        <v>0</v>
      </c>
      <c r="I33" s="25" t="s">
        <v>60</v>
      </c>
      <c r="J33" s="26">
        <v>8</v>
      </c>
      <c r="K33" s="27">
        <v>0</v>
      </c>
    </row>
    <row r="34" spans="3:11" ht="43.5" thickBot="1" x14ac:dyDescent="0.3">
      <c r="C34" s="25" t="s">
        <v>62</v>
      </c>
      <c r="D34" s="26">
        <v>2</v>
      </c>
      <c r="E34" s="27">
        <v>0</v>
      </c>
      <c r="I34" s="25" t="s">
        <v>62</v>
      </c>
      <c r="J34" s="26">
        <v>2</v>
      </c>
      <c r="K34" s="27">
        <v>0</v>
      </c>
    </row>
    <row r="35" spans="3:11" ht="43.5" thickBot="1" x14ac:dyDescent="0.3">
      <c r="C35" s="25" t="s">
        <v>26</v>
      </c>
      <c r="D35" s="26">
        <v>1</v>
      </c>
      <c r="E35" s="27">
        <v>0</v>
      </c>
      <c r="I35" s="25" t="s">
        <v>26</v>
      </c>
      <c r="J35" s="26">
        <v>1</v>
      </c>
      <c r="K35" s="27">
        <v>0</v>
      </c>
    </row>
    <row r="36" spans="3:11" ht="43.5" thickBot="1" x14ac:dyDescent="0.3">
      <c r="C36" s="25" t="s">
        <v>66</v>
      </c>
      <c r="D36" s="26">
        <v>15</v>
      </c>
      <c r="E36" s="27">
        <v>0</v>
      </c>
      <c r="I36" s="25" t="s">
        <v>66</v>
      </c>
      <c r="J36" s="32">
        <v>20</v>
      </c>
      <c r="K36" s="27">
        <v>0</v>
      </c>
    </row>
    <row r="37" spans="3:11" ht="43.5" thickBot="1" x14ac:dyDescent="0.3">
      <c r="C37" s="25" t="s">
        <v>30</v>
      </c>
      <c r="D37" s="26">
        <v>2</v>
      </c>
      <c r="E37" s="27">
        <v>0</v>
      </c>
      <c r="I37" s="25" t="s">
        <v>30</v>
      </c>
      <c r="J37" s="26">
        <v>2</v>
      </c>
      <c r="K37" s="33">
        <v>5</v>
      </c>
    </row>
    <row r="38" spans="3:11" ht="43.5" thickBot="1" x14ac:dyDescent="0.3">
      <c r="C38" s="25" t="s">
        <v>72</v>
      </c>
      <c r="D38" s="26">
        <v>1</v>
      </c>
      <c r="E38" s="27">
        <v>0</v>
      </c>
      <c r="I38" s="25" t="s">
        <v>72</v>
      </c>
      <c r="J38" s="26">
        <v>1</v>
      </c>
      <c r="K38" s="27">
        <v>0</v>
      </c>
    </row>
    <row r="39" spans="3:11" ht="43.5" thickBot="1" x14ac:dyDescent="0.3">
      <c r="C39" s="25"/>
      <c r="D39" s="26"/>
      <c r="E39" s="27"/>
      <c r="I39" s="25"/>
      <c r="J39" s="26"/>
      <c r="K39" s="27"/>
    </row>
    <row r="40" spans="3:11" ht="43.5" thickBot="1" x14ac:dyDescent="0.3">
      <c r="C40" s="25" t="s">
        <v>381</v>
      </c>
      <c r="D40" s="26">
        <f>SUM(D28:D39)</f>
        <v>52</v>
      </c>
      <c r="E40" s="26">
        <f>SUM(E28:E39)</f>
        <v>0</v>
      </c>
      <c r="I40" s="25" t="s">
        <v>381</v>
      </c>
      <c r="J40" s="26">
        <f>SUM(J28:J39)</f>
        <v>62</v>
      </c>
      <c r="K40" s="26">
        <f>SUM(K28:K39)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D469-B2B2-495C-84A3-E03863A66E45}">
  <dimension ref="A1:M222"/>
  <sheetViews>
    <sheetView workbookViewId="0">
      <selection activeCell="D11" sqref="D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 t="s">
        <v>89</v>
      </c>
      <c r="B2" s="5" t="s">
        <v>90</v>
      </c>
      <c r="C2" s="5" t="s">
        <v>370</v>
      </c>
      <c r="D2" s="5" t="s">
        <v>371</v>
      </c>
      <c r="E2" s="5" t="s">
        <v>372</v>
      </c>
      <c r="F2" s="5" t="s">
        <v>18</v>
      </c>
      <c r="G2" s="5" t="s">
        <v>19</v>
      </c>
      <c r="H2" s="5">
        <v>0</v>
      </c>
      <c r="I2" s="5">
        <v>2</v>
      </c>
      <c r="J2" s="5" t="s">
        <v>20</v>
      </c>
      <c r="K2" s="5" t="s">
        <v>373</v>
      </c>
      <c r="L2" s="5" t="s">
        <v>22</v>
      </c>
      <c r="M2" s="5">
        <v>24</v>
      </c>
    </row>
    <row r="3" spans="1:13" x14ac:dyDescent="0.25">
      <c r="A3" s="5" t="s">
        <v>89</v>
      </c>
      <c r="B3" s="5" t="s">
        <v>90</v>
      </c>
      <c r="C3" s="5" t="s">
        <v>370</v>
      </c>
      <c r="D3" s="5" t="s">
        <v>371</v>
      </c>
      <c r="E3" s="5" t="s">
        <v>372</v>
      </c>
      <c r="F3" s="5" t="s">
        <v>79</v>
      </c>
      <c r="G3" s="5" t="s">
        <v>80</v>
      </c>
      <c r="H3" s="5">
        <v>0</v>
      </c>
      <c r="I3" s="5">
        <v>2</v>
      </c>
      <c r="J3" s="5" t="s">
        <v>20</v>
      </c>
      <c r="K3" s="5" t="s">
        <v>373</v>
      </c>
      <c r="L3" s="5" t="s">
        <v>22</v>
      </c>
      <c r="M3" s="5">
        <v>24</v>
      </c>
    </row>
    <row r="4" spans="1:13" x14ac:dyDescent="0.25">
      <c r="A4" s="5" t="s">
        <v>89</v>
      </c>
      <c r="B4" s="5" t="s">
        <v>90</v>
      </c>
      <c r="C4" s="5" t="s">
        <v>370</v>
      </c>
      <c r="D4" s="5" t="s">
        <v>371</v>
      </c>
      <c r="E4" s="5" t="s">
        <v>372</v>
      </c>
      <c r="F4" s="5" t="s">
        <v>45</v>
      </c>
      <c r="G4" s="5" t="s">
        <v>46</v>
      </c>
      <c r="H4" s="5">
        <v>0</v>
      </c>
      <c r="I4" s="5">
        <v>8</v>
      </c>
      <c r="J4" s="5" t="s">
        <v>20</v>
      </c>
      <c r="K4" s="5" t="s">
        <v>373</v>
      </c>
      <c r="L4" s="5" t="s">
        <v>22</v>
      </c>
      <c r="M4" s="5">
        <v>24</v>
      </c>
    </row>
    <row r="5" spans="1:13" x14ac:dyDescent="0.25">
      <c r="A5" s="5" t="s">
        <v>89</v>
      </c>
      <c r="B5" s="5" t="s">
        <v>90</v>
      </c>
      <c r="C5" s="5" t="s">
        <v>370</v>
      </c>
      <c r="D5" s="5" t="s">
        <v>371</v>
      </c>
      <c r="E5" s="5" t="s">
        <v>372</v>
      </c>
      <c r="F5" s="5" t="s">
        <v>51</v>
      </c>
      <c r="G5" s="5" t="s">
        <v>52</v>
      </c>
      <c r="H5" s="5">
        <v>0</v>
      </c>
      <c r="I5" s="5">
        <v>10</v>
      </c>
      <c r="J5" s="5" t="s">
        <v>20</v>
      </c>
      <c r="K5" s="5" t="s">
        <v>373</v>
      </c>
      <c r="L5" s="5" t="s">
        <v>22</v>
      </c>
      <c r="M5" s="5">
        <v>24</v>
      </c>
    </row>
    <row r="6" spans="1:13" x14ac:dyDescent="0.25">
      <c r="A6" s="5" t="s">
        <v>89</v>
      </c>
      <c r="B6" s="5" t="s">
        <v>90</v>
      </c>
      <c r="C6" s="5" t="s">
        <v>370</v>
      </c>
      <c r="D6" s="5" t="s">
        <v>371</v>
      </c>
      <c r="E6" s="5" t="s">
        <v>372</v>
      </c>
      <c r="F6" s="5" t="s">
        <v>55</v>
      </c>
      <c r="G6" s="5" t="s">
        <v>56</v>
      </c>
      <c r="H6" s="5">
        <v>0</v>
      </c>
      <c r="I6" s="5">
        <v>1</v>
      </c>
      <c r="J6" s="5" t="s">
        <v>20</v>
      </c>
      <c r="K6" s="5" t="s">
        <v>373</v>
      </c>
      <c r="L6" s="5" t="s">
        <v>22</v>
      </c>
      <c r="M6" s="5">
        <v>24</v>
      </c>
    </row>
    <row r="7" spans="1:13" x14ac:dyDescent="0.25">
      <c r="A7" s="5" t="s">
        <v>89</v>
      </c>
      <c r="B7" s="5" t="s">
        <v>90</v>
      </c>
      <c r="C7" s="5" t="s">
        <v>370</v>
      </c>
      <c r="D7" s="5" t="s">
        <v>371</v>
      </c>
      <c r="E7" s="5" t="s">
        <v>372</v>
      </c>
      <c r="F7" s="5" t="s">
        <v>59</v>
      </c>
      <c r="G7" s="5" t="s">
        <v>60</v>
      </c>
      <c r="H7" s="5">
        <v>0</v>
      </c>
      <c r="I7" s="5">
        <v>8</v>
      </c>
      <c r="J7" s="5" t="s">
        <v>20</v>
      </c>
      <c r="K7" s="5" t="s">
        <v>373</v>
      </c>
      <c r="L7" s="5" t="s">
        <v>22</v>
      </c>
      <c r="M7" s="5">
        <v>24</v>
      </c>
    </row>
    <row r="8" spans="1:13" x14ac:dyDescent="0.25">
      <c r="A8" s="5" t="s">
        <v>89</v>
      </c>
      <c r="B8" s="5" t="s">
        <v>90</v>
      </c>
      <c r="C8" s="5" t="s">
        <v>370</v>
      </c>
      <c r="D8" s="5" t="s">
        <v>371</v>
      </c>
      <c r="E8" s="5" t="s">
        <v>372</v>
      </c>
      <c r="F8" s="5" t="s">
        <v>61</v>
      </c>
      <c r="G8" s="5" t="s">
        <v>62</v>
      </c>
      <c r="H8" s="5">
        <v>0</v>
      </c>
      <c r="I8" s="5">
        <v>2</v>
      </c>
      <c r="J8" s="5" t="s">
        <v>20</v>
      </c>
      <c r="K8" s="5" t="s">
        <v>373</v>
      </c>
      <c r="L8" s="5" t="s">
        <v>22</v>
      </c>
      <c r="M8" s="5">
        <v>24</v>
      </c>
    </row>
    <row r="9" spans="1:13" x14ac:dyDescent="0.25">
      <c r="A9" s="5" t="s">
        <v>89</v>
      </c>
      <c r="B9" s="5" t="s">
        <v>90</v>
      </c>
      <c r="C9" s="5" t="s">
        <v>370</v>
      </c>
      <c r="D9" s="5" t="s">
        <v>371</v>
      </c>
      <c r="E9" s="5" t="s">
        <v>372</v>
      </c>
      <c r="F9" s="5" t="s">
        <v>25</v>
      </c>
      <c r="G9" s="5" t="s">
        <v>26</v>
      </c>
      <c r="H9" s="5">
        <v>0</v>
      </c>
      <c r="I9" s="5">
        <v>1</v>
      </c>
      <c r="J9" s="5" t="s">
        <v>20</v>
      </c>
      <c r="K9" s="5" t="s">
        <v>373</v>
      </c>
      <c r="L9" s="5" t="s">
        <v>22</v>
      </c>
      <c r="M9" s="5">
        <v>24</v>
      </c>
    </row>
    <row r="10" spans="1:13" x14ac:dyDescent="0.25">
      <c r="A10" s="5" t="s">
        <v>89</v>
      </c>
      <c r="B10" s="5" t="s">
        <v>90</v>
      </c>
      <c r="C10" s="5" t="s">
        <v>370</v>
      </c>
      <c r="D10" s="5" t="s">
        <v>371</v>
      </c>
      <c r="E10" s="5" t="s">
        <v>372</v>
      </c>
      <c r="F10" s="5" t="s">
        <v>65</v>
      </c>
      <c r="G10" s="5" t="s">
        <v>66</v>
      </c>
      <c r="H10" s="5">
        <v>0</v>
      </c>
      <c r="I10" s="5">
        <v>15</v>
      </c>
      <c r="J10" s="5" t="s">
        <v>20</v>
      </c>
      <c r="K10" s="5" t="s">
        <v>373</v>
      </c>
      <c r="L10" s="5" t="s">
        <v>22</v>
      </c>
      <c r="M10" s="5">
        <v>24</v>
      </c>
    </row>
    <row r="11" spans="1:13" x14ac:dyDescent="0.25">
      <c r="A11" s="5" t="s">
        <v>89</v>
      </c>
      <c r="B11" s="5" t="s">
        <v>90</v>
      </c>
      <c r="C11" s="5" t="s">
        <v>370</v>
      </c>
      <c r="D11" s="5" t="s">
        <v>371</v>
      </c>
      <c r="E11" s="5" t="s">
        <v>372</v>
      </c>
      <c r="F11" s="5" t="s">
        <v>29</v>
      </c>
      <c r="G11" s="5" t="s">
        <v>30</v>
      </c>
      <c r="H11" s="5">
        <v>0</v>
      </c>
      <c r="I11" s="5">
        <v>2</v>
      </c>
      <c r="J11" s="5" t="s">
        <v>20</v>
      </c>
      <c r="K11" s="5" t="s">
        <v>373</v>
      </c>
      <c r="L11" s="5" t="s">
        <v>22</v>
      </c>
      <c r="M11" s="5">
        <v>24</v>
      </c>
    </row>
    <row r="12" spans="1:13" x14ac:dyDescent="0.25">
      <c r="A12" s="5" t="s">
        <v>89</v>
      </c>
      <c r="B12" s="5" t="s">
        <v>90</v>
      </c>
      <c r="C12" s="5" t="s">
        <v>370</v>
      </c>
      <c r="D12" s="5" t="s">
        <v>371</v>
      </c>
      <c r="E12" s="5" t="s">
        <v>372</v>
      </c>
      <c r="F12" s="5" t="s">
        <v>71</v>
      </c>
      <c r="G12" s="5" t="s">
        <v>72</v>
      </c>
      <c r="H12" s="5">
        <v>0</v>
      </c>
      <c r="I12" s="5">
        <v>1</v>
      </c>
      <c r="J12" s="5" t="s">
        <v>20</v>
      </c>
      <c r="K12" s="5" t="s">
        <v>373</v>
      </c>
      <c r="L12" s="5" t="s">
        <v>22</v>
      </c>
      <c r="M12" s="5">
        <v>24</v>
      </c>
    </row>
    <row r="13" spans="1:13" x14ac:dyDescent="0.25">
      <c r="A13" t="s">
        <v>89</v>
      </c>
      <c r="B13" t="s">
        <v>90</v>
      </c>
      <c r="C13" t="s">
        <v>366</v>
      </c>
      <c r="D13" t="s">
        <v>367</v>
      </c>
      <c r="E13" t="s">
        <v>368</v>
      </c>
      <c r="F13" t="s">
        <v>18</v>
      </c>
      <c r="G13" t="s">
        <v>19</v>
      </c>
      <c r="H13">
        <v>0</v>
      </c>
      <c r="I13">
        <v>2</v>
      </c>
      <c r="J13" t="s">
        <v>94</v>
      </c>
      <c r="K13" t="s">
        <v>369</v>
      </c>
      <c r="L13" t="s">
        <v>22</v>
      </c>
      <c r="M13">
        <v>25</v>
      </c>
    </row>
    <row r="14" spans="1:13" x14ac:dyDescent="0.25">
      <c r="A14" t="s">
        <v>89</v>
      </c>
      <c r="B14" t="s">
        <v>90</v>
      </c>
      <c r="C14" t="s">
        <v>366</v>
      </c>
      <c r="D14" t="s">
        <v>367</v>
      </c>
      <c r="E14" t="s">
        <v>368</v>
      </c>
      <c r="F14" t="s">
        <v>45</v>
      </c>
      <c r="G14" t="s">
        <v>46</v>
      </c>
      <c r="H14">
        <v>0</v>
      </c>
      <c r="I14">
        <v>2</v>
      </c>
      <c r="J14" t="s">
        <v>94</v>
      </c>
      <c r="K14" t="s">
        <v>369</v>
      </c>
      <c r="L14" t="s">
        <v>22</v>
      </c>
      <c r="M14">
        <v>25</v>
      </c>
    </row>
    <row r="15" spans="1:13" x14ac:dyDescent="0.25">
      <c r="A15" t="s">
        <v>89</v>
      </c>
      <c r="B15" t="s">
        <v>90</v>
      </c>
      <c r="C15" t="s">
        <v>366</v>
      </c>
      <c r="D15" t="s">
        <v>367</v>
      </c>
      <c r="E15" t="s">
        <v>368</v>
      </c>
      <c r="F15" t="s">
        <v>51</v>
      </c>
      <c r="G15" t="s">
        <v>52</v>
      </c>
      <c r="H15">
        <v>0</v>
      </c>
      <c r="I15">
        <v>1</v>
      </c>
      <c r="J15" t="s">
        <v>94</v>
      </c>
      <c r="K15" t="s">
        <v>369</v>
      </c>
      <c r="L15" t="s">
        <v>22</v>
      </c>
      <c r="M15">
        <v>25</v>
      </c>
    </row>
    <row r="16" spans="1:13" x14ac:dyDescent="0.25">
      <c r="A16" t="s">
        <v>89</v>
      </c>
      <c r="B16" t="s">
        <v>90</v>
      </c>
      <c r="C16" t="s">
        <v>366</v>
      </c>
      <c r="D16" t="s">
        <v>367</v>
      </c>
      <c r="E16" t="s">
        <v>368</v>
      </c>
      <c r="F16" t="s">
        <v>53</v>
      </c>
      <c r="G16" t="s">
        <v>54</v>
      </c>
      <c r="H16">
        <v>5</v>
      </c>
      <c r="I16">
        <v>0</v>
      </c>
      <c r="J16" t="s">
        <v>94</v>
      </c>
      <c r="K16" t="s">
        <v>369</v>
      </c>
      <c r="L16" t="s">
        <v>22</v>
      </c>
      <c r="M16">
        <v>25</v>
      </c>
    </row>
    <row r="17" spans="1:13" x14ac:dyDescent="0.25">
      <c r="A17" t="s">
        <v>89</v>
      </c>
      <c r="B17" t="s">
        <v>90</v>
      </c>
      <c r="C17" t="s">
        <v>366</v>
      </c>
      <c r="D17" t="s">
        <v>367</v>
      </c>
      <c r="E17" t="s">
        <v>368</v>
      </c>
      <c r="F17" t="s">
        <v>63</v>
      </c>
      <c r="G17" t="s">
        <v>64</v>
      </c>
      <c r="H17">
        <v>2</v>
      </c>
      <c r="I17">
        <v>0</v>
      </c>
      <c r="J17" t="s">
        <v>94</v>
      </c>
      <c r="K17" t="s">
        <v>369</v>
      </c>
      <c r="L17" t="s">
        <v>22</v>
      </c>
      <c r="M17">
        <v>25</v>
      </c>
    </row>
    <row r="18" spans="1:13" x14ac:dyDescent="0.25">
      <c r="A18" t="s">
        <v>89</v>
      </c>
      <c r="B18" t="s">
        <v>90</v>
      </c>
      <c r="C18" t="s">
        <v>366</v>
      </c>
      <c r="D18" t="s">
        <v>367</v>
      </c>
      <c r="E18" t="s">
        <v>368</v>
      </c>
      <c r="F18" t="s">
        <v>25</v>
      </c>
      <c r="G18" t="s">
        <v>26</v>
      </c>
      <c r="H18">
        <v>5</v>
      </c>
      <c r="I18">
        <v>0</v>
      </c>
      <c r="J18" t="s">
        <v>94</v>
      </c>
      <c r="K18" t="s">
        <v>369</v>
      </c>
      <c r="L18" t="s">
        <v>22</v>
      </c>
      <c r="M18">
        <v>25</v>
      </c>
    </row>
    <row r="19" spans="1:13" x14ac:dyDescent="0.25">
      <c r="A19" t="s">
        <v>89</v>
      </c>
      <c r="B19" t="s">
        <v>90</v>
      </c>
      <c r="C19" t="s">
        <v>366</v>
      </c>
      <c r="D19" t="s">
        <v>367</v>
      </c>
      <c r="E19" t="s">
        <v>368</v>
      </c>
      <c r="F19" t="s">
        <v>27</v>
      </c>
      <c r="G19" t="s">
        <v>28</v>
      </c>
      <c r="H19">
        <v>0</v>
      </c>
      <c r="I19">
        <v>1</v>
      </c>
      <c r="J19" t="s">
        <v>94</v>
      </c>
      <c r="K19" t="s">
        <v>369</v>
      </c>
      <c r="L19" t="s">
        <v>22</v>
      </c>
      <c r="M19">
        <v>25</v>
      </c>
    </row>
    <row r="20" spans="1:13" x14ac:dyDescent="0.25">
      <c r="A20" t="s">
        <v>89</v>
      </c>
      <c r="B20" t="s">
        <v>90</v>
      </c>
      <c r="C20" t="s">
        <v>366</v>
      </c>
      <c r="D20" t="s">
        <v>367</v>
      </c>
      <c r="E20" t="s">
        <v>368</v>
      </c>
      <c r="F20" t="s">
        <v>65</v>
      </c>
      <c r="G20" t="s">
        <v>66</v>
      </c>
      <c r="H20">
        <v>0</v>
      </c>
      <c r="I20">
        <v>2</v>
      </c>
      <c r="J20" t="s">
        <v>94</v>
      </c>
      <c r="K20" t="s">
        <v>369</v>
      </c>
      <c r="L20" t="s">
        <v>22</v>
      </c>
      <c r="M20">
        <v>25</v>
      </c>
    </row>
    <row r="21" spans="1:13" x14ac:dyDescent="0.25">
      <c r="A21" t="s">
        <v>89</v>
      </c>
      <c r="B21" t="s">
        <v>90</v>
      </c>
      <c r="C21" t="s">
        <v>366</v>
      </c>
      <c r="D21" t="s">
        <v>367</v>
      </c>
      <c r="E21" t="s">
        <v>368</v>
      </c>
      <c r="F21" t="s">
        <v>67</v>
      </c>
      <c r="G21" t="s">
        <v>68</v>
      </c>
      <c r="H21">
        <v>4</v>
      </c>
      <c r="I21">
        <v>0</v>
      </c>
      <c r="J21" t="s">
        <v>94</v>
      </c>
      <c r="K21" t="s">
        <v>369</v>
      </c>
      <c r="L21" t="s">
        <v>22</v>
      </c>
      <c r="M21">
        <v>25</v>
      </c>
    </row>
    <row r="22" spans="1:13" x14ac:dyDescent="0.25">
      <c r="A22" t="s">
        <v>89</v>
      </c>
      <c r="B22" t="s">
        <v>90</v>
      </c>
      <c r="C22" t="s">
        <v>366</v>
      </c>
      <c r="D22" t="s">
        <v>367</v>
      </c>
      <c r="E22" t="s">
        <v>368</v>
      </c>
      <c r="F22" t="s">
        <v>71</v>
      </c>
      <c r="G22" t="s">
        <v>72</v>
      </c>
      <c r="H22">
        <v>5</v>
      </c>
      <c r="I22">
        <v>0</v>
      </c>
      <c r="J22" t="s">
        <v>94</v>
      </c>
      <c r="K22" t="s">
        <v>369</v>
      </c>
      <c r="L22" t="s">
        <v>22</v>
      </c>
      <c r="M22">
        <v>25</v>
      </c>
    </row>
    <row r="23" spans="1:13" x14ac:dyDescent="0.25">
      <c r="A23" t="s">
        <v>89</v>
      </c>
      <c r="B23" t="s">
        <v>90</v>
      </c>
      <c r="C23" t="s">
        <v>362</v>
      </c>
      <c r="D23" t="s">
        <v>363</v>
      </c>
      <c r="E23" t="s">
        <v>364</v>
      </c>
      <c r="F23" t="s">
        <v>39</v>
      </c>
      <c r="G23" t="s">
        <v>40</v>
      </c>
      <c r="H23">
        <v>5</v>
      </c>
      <c r="I23">
        <v>0</v>
      </c>
      <c r="J23" t="s">
        <v>94</v>
      </c>
      <c r="K23" t="s">
        <v>365</v>
      </c>
      <c r="L23" t="s">
        <v>22</v>
      </c>
      <c r="M23">
        <v>31</v>
      </c>
    </row>
    <row r="24" spans="1:13" x14ac:dyDescent="0.25">
      <c r="A24" t="s">
        <v>89</v>
      </c>
      <c r="B24" t="s">
        <v>90</v>
      </c>
      <c r="C24" t="s">
        <v>362</v>
      </c>
      <c r="D24" t="s">
        <v>363</v>
      </c>
      <c r="E24" t="s">
        <v>364</v>
      </c>
      <c r="F24" t="s">
        <v>45</v>
      </c>
      <c r="G24" t="s">
        <v>46</v>
      </c>
      <c r="H24">
        <v>0</v>
      </c>
      <c r="I24">
        <v>1</v>
      </c>
      <c r="J24" t="s">
        <v>94</v>
      </c>
      <c r="K24" t="s">
        <v>365</v>
      </c>
      <c r="L24" t="s">
        <v>22</v>
      </c>
      <c r="M24">
        <v>31</v>
      </c>
    </row>
    <row r="25" spans="1:13" x14ac:dyDescent="0.25">
      <c r="A25" t="s">
        <v>89</v>
      </c>
      <c r="B25" t="s">
        <v>90</v>
      </c>
      <c r="C25" t="s">
        <v>362</v>
      </c>
      <c r="D25" t="s">
        <v>363</v>
      </c>
      <c r="E25" t="s">
        <v>364</v>
      </c>
      <c r="F25" t="s">
        <v>51</v>
      </c>
      <c r="G25" t="s">
        <v>52</v>
      </c>
      <c r="H25">
        <v>0</v>
      </c>
      <c r="I25">
        <v>1</v>
      </c>
      <c r="J25" t="s">
        <v>94</v>
      </c>
      <c r="K25" t="s">
        <v>365</v>
      </c>
      <c r="L25" t="s">
        <v>22</v>
      </c>
      <c r="M25">
        <v>31</v>
      </c>
    </row>
    <row r="26" spans="1:13" x14ac:dyDescent="0.25">
      <c r="A26" t="s">
        <v>89</v>
      </c>
      <c r="B26" t="s">
        <v>90</v>
      </c>
      <c r="C26" t="s">
        <v>362</v>
      </c>
      <c r="D26" t="s">
        <v>363</v>
      </c>
      <c r="E26" t="s">
        <v>364</v>
      </c>
      <c r="F26" t="s">
        <v>59</v>
      </c>
      <c r="G26" t="s">
        <v>60</v>
      </c>
      <c r="H26">
        <v>0</v>
      </c>
      <c r="I26">
        <v>1</v>
      </c>
      <c r="J26" t="s">
        <v>94</v>
      </c>
      <c r="K26" t="s">
        <v>365</v>
      </c>
      <c r="L26" t="s">
        <v>22</v>
      </c>
      <c r="M26">
        <v>31</v>
      </c>
    </row>
    <row r="27" spans="1:13" x14ac:dyDescent="0.25">
      <c r="A27" t="s">
        <v>89</v>
      </c>
      <c r="B27" t="s">
        <v>90</v>
      </c>
      <c r="C27" t="s">
        <v>362</v>
      </c>
      <c r="D27" t="s">
        <v>363</v>
      </c>
      <c r="E27" t="s">
        <v>364</v>
      </c>
      <c r="F27" t="s">
        <v>61</v>
      </c>
      <c r="G27" t="s">
        <v>62</v>
      </c>
      <c r="H27">
        <v>0</v>
      </c>
      <c r="I27">
        <v>1</v>
      </c>
      <c r="J27" t="s">
        <v>94</v>
      </c>
      <c r="K27" t="s">
        <v>365</v>
      </c>
      <c r="L27" t="s">
        <v>22</v>
      </c>
      <c r="M27">
        <v>31</v>
      </c>
    </row>
    <row r="28" spans="1:13" x14ac:dyDescent="0.25">
      <c r="A28" t="s">
        <v>89</v>
      </c>
      <c r="B28" t="s">
        <v>90</v>
      </c>
      <c r="C28" t="s">
        <v>362</v>
      </c>
      <c r="D28" t="s">
        <v>363</v>
      </c>
      <c r="E28" t="s">
        <v>364</v>
      </c>
      <c r="F28" t="s">
        <v>65</v>
      </c>
      <c r="G28" t="s">
        <v>66</v>
      </c>
      <c r="H28">
        <v>0</v>
      </c>
      <c r="I28">
        <v>1</v>
      </c>
      <c r="J28" t="s">
        <v>94</v>
      </c>
      <c r="K28" t="s">
        <v>365</v>
      </c>
      <c r="L28" t="s">
        <v>22</v>
      </c>
      <c r="M28">
        <v>31</v>
      </c>
    </row>
    <row r="29" spans="1:13" x14ac:dyDescent="0.25">
      <c r="A29" t="s">
        <v>89</v>
      </c>
      <c r="B29" t="s">
        <v>90</v>
      </c>
      <c r="C29" t="s">
        <v>362</v>
      </c>
      <c r="D29" t="s">
        <v>363</v>
      </c>
      <c r="E29" t="s">
        <v>364</v>
      </c>
      <c r="F29" t="s">
        <v>67</v>
      </c>
      <c r="G29" t="s">
        <v>68</v>
      </c>
      <c r="H29">
        <v>6</v>
      </c>
      <c r="I29">
        <v>0</v>
      </c>
      <c r="J29" t="s">
        <v>94</v>
      </c>
      <c r="K29" t="s">
        <v>365</v>
      </c>
      <c r="L29" t="s">
        <v>22</v>
      </c>
      <c r="M29">
        <v>31</v>
      </c>
    </row>
    <row r="30" spans="1:13" x14ac:dyDescent="0.25">
      <c r="A30" t="s">
        <v>89</v>
      </c>
      <c r="B30" t="s">
        <v>90</v>
      </c>
      <c r="C30" t="s">
        <v>358</v>
      </c>
      <c r="D30" t="s">
        <v>359</v>
      </c>
      <c r="E30" t="s">
        <v>360</v>
      </c>
      <c r="F30" t="s">
        <v>18</v>
      </c>
      <c r="G30" t="s">
        <v>19</v>
      </c>
      <c r="H30">
        <v>0</v>
      </c>
      <c r="I30">
        <v>1</v>
      </c>
      <c r="J30" t="s">
        <v>20</v>
      </c>
      <c r="K30" t="s">
        <v>361</v>
      </c>
      <c r="L30" t="s">
        <v>22</v>
      </c>
      <c r="M30">
        <v>36</v>
      </c>
    </row>
    <row r="31" spans="1:13" x14ac:dyDescent="0.25">
      <c r="A31" t="s">
        <v>89</v>
      </c>
      <c r="B31" t="s">
        <v>90</v>
      </c>
      <c r="C31" t="s">
        <v>358</v>
      </c>
      <c r="D31" t="s">
        <v>359</v>
      </c>
      <c r="E31" t="s">
        <v>360</v>
      </c>
      <c r="F31" t="s">
        <v>45</v>
      </c>
      <c r="G31" t="s">
        <v>46</v>
      </c>
      <c r="H31">
        <v>0</v>
      </c>
      <c r="I31">
        <v>6</v>
      </c>
      <c r="J31" t="s">
        <v>20</v>
      </c>
      <c r="K31" t="s">
        <v>361</v>
      </c>
      <c r="L31" t="s">
        <v>22</v>
      </c>
      <c r="M31">
        <v>36</v>
      </c>
    </row>
    <row r="32" spans="1:13" x14ac:dyDescent="0.25">
      <c r="A32" t="s">
        <v>89</v>
      </c>
      <c r="B32" t="s">
        <v>90</v>
      </c>
      <c r="C32" t="s">
        <v>358</v>
      </c>
      <c r="D32" t="s">
        <v>359</v>
      </c>
      <c r="E32" t="s">
        <v>360</v>
      </c>
      <c r="F32" t="s">
        <v>51</v>
      </c>
      <c r="G32" t="s">
        <v>52</v>
      </c>
      <c r="H32">
        <v>0</v>
      </c>
      <c r="I32">
        <v>4</v>
      </c>
      <c r="J32" t="s">
        <v>20</v>
      </c>
      <c r="K32" t="s">
        <v>361</v>
      </c>
      <c r="L32" t="s">
        <v>22</v>
      </c>
      <c r="M32">
        <v>36</v>
      </c>
    </row>
    <row r="33" spans="1:13" x14ac:dyDescent="0.25">
      <c r="A33" t="s">
        <v>89</v>
      </c>
      <c r="B33" t="s">
        <v>90</v>
      </c>
      <c r="C33" t="s">
        <v>358</v>
      </c>
      <c r="D33" t="s">
        <v>359</v>
      </c>
      <c r="E33" t="s">
        <v>360</v>
      </c>
      <c r="F33" t="s">
        <v>55</v>
      </c>
      <c r="G33" t="s">
        <v>56</v>
      </c>
      <c r="H33">
        <v>5</v>
      </c>
      <c r="I33">
        <v>0</v>
      </c>
      <c r="J33" t="s">
        <v>20</v>
      </c>
      <c r="K33" t="s">
        <v>361</v>
      </c>
      <c r="L33" t="s">
        <v>22</v>
      </c>
      <c r="M33">
        <v>36</v>
      </c>
    </row>
    <row r="34" spans="1:13" x14ac:dyDescent="0.25">
      <c r="A34" t="s">
        <v>89</v>
      </c>
      <c r="B34" t="s">
        <v>90</v>
      </c>
      <c r="C34" t="s">
        <v>358</v>
      </c>
      <c r="D34" t="s">
        <v>359</v>
      </c>
      <c r="E34" t="s">
        <v>360</v>
      </c>
      <c r="F34" t="s">
        <v>59</v>
      </c>
      <c r="G34" t="s">
        <v>60</v>
      </c>
      <c r="H34">
        <v>0</v>
      </c>
      <c r="I34">
        <v>3</v>
      </c>
      <c r="J34" t="s">
        <v>20</v>
      </c>
      <c r="K34" t="s">
        <v>361</v>
      </c>
      <c r="L34" t="s">
        <v>22</v>
      </c>
      <c r="M34">
        <v>36</v>
      </c>
    </row>
    <row r="35" spans="1:13" x14ac:dyDescent="0.25">
      <c r="A35" t="s">
        <v>89</v>
      </c>
      <c r="B35" t="s">
        <v>90</v>
      </c>
      <c r="C35" t="s">
        <v>358</v>
      </c>
      <c r="D35" t="s">
        <v>359</v>
      </c>
      <c r="E35" t="s">
        <v>360</v>
      </c>
      <c r="F35" t="s">
        <v>25</v>
      </c>
      <c r="G35" t="s">
        <v>26</v>
      </c>
      <c r="H35">
        <v>5</v>
      </c>
      <c r="I35">
        <v>0</v>
      </c>
      <c r="J35" t="s">
        <v>20</v>
      </c>
      <c r="K35" t="s">
        <v>361</v>
      </c>
      <c r="L35" t="s">
        <v>22</v>
      </c>
      <c r="M35">
        <v>36</v>
      </c>
    </row>
    <row r="36" spans="1:13" x14ac:dyDescent="0.25">
      <c r="A36" t="s">
        <v>89</v>
      </c>
      <c r="B36" t="s">
        <v>90</v>
      </c>
      <c r="C36" t="s">
        <v>358</v>
      </c>
      <c r="D36" t="s">
        <v>359</v>
      </c>
      <c r="E36" t="s">
        <v>360</v>
      </c>
      <c r="F36" t="s">
        <v>27</v>
      </c>
      <c r="G36" t="s">
        <v>28</v>
      </c>
      <c r="H36">
        <v>0</v>
      </c>
      <c r="I36">
        <v>1</v>
      </c>
      <c r="J36" t="s">
        <v>20</v>
      </c>
      <c r="K36" t="s">
        <v>361</v>
      </c>
      <c r="L36" t="s">
        <v>22</v>
      </c>
      <c r="M36">
        <v>36</v>
      </c>
    </row>
    <row r="37" spans="1:13" x14ac:dyDescent="0.25">
      <c r="A37" t="s">
        <v>89</v>
      </c>
      <c r="B37" t="s">
        <v>90</v>
      </c>
      <c r="C37" t="s">
        <v>358</v>
      </c>
      <c r="D37" t="s">
        <v>359</v>
      </c>
      <c r="E37" t="s">
        <v>360</v>
      </c>
      <c r="F37" t="s">
        <v>65</v>
      </c>
      <c r="G37" t="s">
        <v>66</v>
      </c>
      <c r="H37">
        <v>0</v>
      </c>
      <c r="I37">
        <v>7</v>
      </c>
      <c r="J37" t="s">
        <v>20</v>
      </c>
      <c r="K37" t="s">
        <v>361</v>
      </c>
      <c r="L37" t="s">
        <v>22</v>
      </c>
      <c r="M37">
        <v>36</v>
      </c>
    </row>
    <row r="38" spans="1:13" x14ac:dyDescent="0.25">
      <c r="A38" t="s">
        <v>89</v>
      </c>
      <c r="B38" t="s">
        <v>90</v>
      </c>
      <c r="C38" t="s">
        <v>358</v>
      </c>
      <c r="D38" t="s">
        <v>359</v>
      </c>
      <c r="E38" t="s">
        <v>360</v>
      </c>
      <c r="F38" t="s">
        <v>69</v>
      </c>
      <c r="G38" t="s">
        <v>70</v>
      </c>
      <c r="H38">
        <v>6</v>
      </c>
      <c r="I38">
        <v>0</v>
      </c>
      <c r="J38" t="s">
        <v>20</v>
      </c>
      <c r="K38" t="s">
        <v>361</v>
      </c>
      <c r="L38" t="s">
        <v>22</v>
      </c>
      <c r="M38">
        <v>36</v>
      </c>
    </row>
    <row r="39" spans="1:13" x14ac:dyDescent="0.25">
      <c r="A39" t="s">
        <v>120</v>
      </c>
      <c r="B39" t="s">
        <v>121</v>
      </c>
      <c r="C39" t="s">
        <v>354</v>
      </c>
      <c r="D39" t="s">
        <v>355</v>
      </c>
      <c r="E39" t="s">
        <v>356</v>
      </c>
      <c r="F39" t="s">
        <v>79</v>
      </c>
      <c r="G39" t="s">
        <v>80</v>
      </c>
      <c r="H39">
        <v>5</v>
      </c>
      <c r="I39">
        <v>0</v>
      </c>
      <c r="J39" t="s">
        <v>101</v>
      </c>
      <c r="K39" t="s">
        <v>357</v>
      </c>
      <c r="L39" t="s">
        <v>22</v>
      </c>
      <c r="M39">
        <v>38</v>
      </c>
    </row>
    <row r="40" spans="1:13" x14ac:dyDescent="0.25">
      <c r="A40" t="s">
        <v>120</v>
      </c>
      <c r="B40" t="s">
        <v>121</v>
      </c>
      <c r="C40" t="s">
        <v>354</v>
      </c>
      <c r="D40" t="s">
        <v>355</v>
      </c>
      <c r="E40" t="s">
        <v>356</v>
      </c>
      <c r="F40" t="s">
        <v>39</v>
      </c>
      <c r="G40" t="s">
        <v>40</v>
      </c>
      <c r="H40">
        <v>0</v>
      </c>
      <c r="I40">
        <v>3</v>
      </c>
      <c r="J40" t="s">
        <v>101</v>
      </c>
      <c r="K40" t="s">
        <v>357</v>
      </c>
      <c r="L40" t="s">
        <v>22</v>
      </c>
      <c r="M40">
        <v>38</v>
      </c>
    </row>
    <row r="41" spans="1:13" x14ac:dyDescent="0.25">
      <c r="A41" t="s">
        <v>120</v>
      </c>
      <c r="B41" t="s">
        <v>121</v>
      </c>
      <c r="C41" t="s">
        <v>354</v>
      </c>
      <c r="D41" t="s">
        <v>355</v>
      </c>
      <c r="E41" t="s">
        <v>356</v>
      </c>
      <c r="F41" t="s">
        <v>45</v>
      </c>
      <c r="G41" t="s">
        <v>46</v>
      </c>
      <c r="H41">
        <v>0</v>
      </c>
      <c r="I41">
        <v>7</v>
      </c>
      <c r="J41" t="s">
        <v>101</v>
      </c>
      <c r="K41" t="s">
        <v>357</v>
      </c>
      <c r="L41" t="s">
        <v>22</v>
      </c>
      <c r="M41">
        <v>38</v>
      </c>
    </row>
    <row r="42" spans="1:13" x14ac:dyDescent="0.25">
      <c r="A42" t="s">
        <v>120</v>
      </c>
      <c r="B42" t="s">
        <v>121</v>
      </c>
      <c r="C42" t="s">
        <v>354</v>
      </c>
      <c r="D42" t="s">
        <v>355</v>
      </c>
      <c r="E42" t="s">
        <v>356</v>
      </c>
      <c r="F42" t="s">
        <v>49</v>
      </c>
      <c r="G42" t="s">
        <v>50</v>
      </c>
      <c r="H42">
        <v>5</v>
      </c>
      <c r="I42">
        <v>0</v>
      </c>
      <c r="J42" t="s">
        <v>101</v>
      </c>
      <c r="K42" t="s">
        <v>357</v>
      </c>
      <c r="L42" t="s">
        <v>22</v>
      </c>
      <c r="M42">
        <v>38</v>
      </c>
    </row>
    <row r="43" spans="1:13" x14ac:dyDescent="0.25">
      <c r="A43" t="s">
        <v>120</v>
      </c>
      <c r="B43" t="s">
        <v>121</v>
      </c>
      <c r="C43" t="s">
        <v>354</v>
      </c>
      <c r="D43" t="s">
        <v>355</v>
      </c>
      <c r="E43" t="s">
        <v>356</v>
      </c>
      <c r="F43" t="s">
        <v>23</v>
      </c>
      <c r="G43" t="s">
        <v>24</v>
      </c>
      <c r="H43">
        <v>0</v>
      </c>
      <c r="I43">
        <v>1</v>
      </c>
      <c r="J43" t="s">
        <v>101</v>
      </c>
      <c r="K43" t="s">
        <v>357</v>
      </c>
      <c r="L43" t="s">
        <v>22</v>
      </c>
      <c r="M43">
        <v>38</v>
      </c>
    </row>
    <row r="44" spans="1:13" x14ac:dyDescent="0.25">
      <c r="A44" t="s">
        <v>120</v>
      </c>
      <c r="B44" t="s">
        <v>121</v>
      </c>
      <c r="C44" t="s">
        <v>354</v>
      </c>
      <c r="D44" t="s">
        <v>355</v>
      </c>
      <c r="E44" t="s">
        <v>356</v>
      </c>
      <c r="F44" t="s">
        <v>51</v>
      </c>
      <c r="G44" t="s">
        <v>52</v>
      </c>
      <c r="H44">
        <v>0</v>
      </c>
      <c r="I44">
        <v>20</v>
      </c>
      <c r="J44" t="s">
        <v>101</v>
      </c>
      <c r="K44" t="s">
        <v>357</v>
      </c>
      <c r="L44" t="s">
        <v>22</v>
      </c>
      <c r="M44">
        <v>38</v>
      </c>
    </row>
    <row r="45" spans="1:13" x14ac:dyDescent="0.25">
      <c r="A45" t="s">
        <v>120</v>
      </c>
      <c r="B45" t="s">
        <v>121</v>
      </c>
      <c r="C45" t="s">
        <v>354</v>
      </c>
      <c r="D45" t="s">
        <v>355</v>
      </c>
      <c r="E45" t="s">
        <v>356</v>
      </c>
      <c r="F45" t="s">
        <v>59</v>
      </c>
      <c r="G45" t="s">
        <v>60</v>
      </c>
      <c r="H45">
        <v>0</v>
      </c>
      <c r="I45">
        <v>7</v>
      </c>
      <c r="J45" t="s">
        <v>101</v>
      </c>
      <c r="K45" t="s">
        <v>357</v>
      </c>
      <c r="L45" t="s">
        <v>22</v>
      </c>
      <c r="M45">
        <v>38</v>
      </c>
    </row>
    <row r="46" spans="1:13" x14ac:dyDescent="0.25">
      <c r="A46" t="s">
        <v>120</v>
      </c>
      <c r="B46" t="s">
        <v>121</v>
      </c>
      <c r="C46" t="s">
        <v>354</v>
      </c>
      <c r="D46" t="s">
        <v>355</v>
      </c>
      <c r="E46" t="s">
        <v>356</v>
      </c>
      <c r="F46" t="s">
        <v>25</v>
      </c>
      <c r="G46" t="s">
        <v>26</v>
      </c>
      <c r="H46">
        <v>0</v>
      </c>
      <c r="I46">
        <v>1</v>
      </c>
      <c r="J46" t="s">
        <v>101</v>
      </c>
      <c r="K46" t="s">
        <v>357</v>
      </c>
      <c r="L46" t="s">
        <v>22</v>
      </c>
      <c r="M46">
        <v>38</v>
      </c>
    </row>
    <row r="47" spans="1:13" x14ac:dyDescent="0.25">
      <c r="A47" t="s">
        <v>120</v>
      </c>
      <c r="B47" t="s">
        <v>121</v>
      </c>
      <c r="C47" t="s">
        <v>354</v>
      </c>
      <c r="D47" t="s">
        <v>355</v>
      </c>
      <c r="E47" t="s">
        <v>356</v>
      </c>
      <c r="F47" t="s">
        <v>27</v>
      </c>
      <c r="G47" t="s">
        <v>28</v>
      </c>
      <c r="H47">
        <v>0</v>
      </c>
      <c r="I47">
        <v>1</v>
      </c>
      <c r="J47" t="s">
        <v>101</v>
      </c>
      <c r="K47" t="s">
        <v>357</v>
      </c>
      <c r="L47" t="s">
        <v>22</v>
      </c>
      <c r="M47">
        <v>38</v>
      </c>
    </row>
    <row r="48" spans="1:13" x14ac:dyDescent="0.25">
      <c r="A48" t="s">
        <v>120</v>
      </c>
      <c r="B48" t="s">
        <v>121</v>
      </c>
      <c r="C48" t="s">
        <v>354</v>
      </c>
      <c r="D48" t="s">
        <v>355</v>
      </c>
      <c r="E48" t="s">
        <v>356</v>
      </c>
      <c r="F48" t="s">
        <v>65</v>
      </c>
      <c r="G48" t="s">
        <v>66</v>
      </c>
      <c r="H48">
        <v>0</v>
      </c>
      <c r="I48">
        <v>7</v>
      </c>
      <c r="J48" t="s">
        <v>101</v>
      </c>
      <c r="K48" t="s">
        <v>357</v>
      </c>
      <c r="L48" t="s">
        <v>22</v>
      </c>
      <c r="M48">
        <v>38</v>
      </c>
    </row>
    <row r="49" spans="1:13" x14ac:dyDescent="0.25">
      <c r="A49" t="s">
        <v>120</v>
      </c>
      <c r="B49" t="s">
        <v>121</v>
      </c>
      <c r="C49" t="s">
        <v>354</v>
      </c>
      <c r="D49" t="s">
        <v>355</v>
      </c>
      <c r="E49" t="s">
        <v>356</v>
      </c>
      <c r="F49" t="s">
        <v>29</v>
      </c>
      <c r="G49" t="s">
        <v>30</v>
      </c>
      <c r="H49">
        <v>0</v>
      </c>
      <c r="I49">
        <v>1</v>
      </c>
      <c r="J49" t="s">
        <v>101</v>
      </c>
      <c r="K49" t="s">
        <v>357</v>
      </c>
      <c r="L49" t="s">
        <v>22</v>
      </c>
      <c r="M49">
        <v>38</v>
      </c>
    </row>
    <row r="50" spans="1:13" x14ac:dyDescent="0.25">
      <c r="A50" t="s">
        <v>120</v>
      </c>
      <c r="B50" t="s">
        <v>121</v>
      </c>
      <c r="C50" t="s">
        <v>354</v>
      </c>
      <c r="D50" t="s">
        <v>355</v>
      </c>
      <c r="E50" t="s">
        <v>356</v>
      </c>
      <c r="F50" t="s">
        <v>31</v>
      </c>
      <c r="G50" t="s">
        <v>32</v>
      </c>
      <c r="H50">
        <v>0</v>
      </c>
      <c r="I50">
        <v>1</v>
      </c>
      <c r="J50" t="s">
        <v>101</v>
      </c>
      <c r="K50" t="s">
        <v>357</v>
      </c>
      <c r="L50" t="s">
        <v>22</v>
      </c>
      <c r="M50">
        <v>38</v>
      </c>
    </row>
    <row r="51" spans="1:13" x14ac:dyDescent="0.25">
      <c r="A51" t="s">
        <v>120</v>
      </c>
      <c r="B51" t="s">
        <v>121</v>
      </c>
      <c r="C51" t="s">
        <v>350</v>
      </c>
      <c r="D51" t="s">
        <v>351</v>
      </c>
      <c r="E51" t="s">
        <v>352</v>
      </c>
      <c r="F51" t="s">
        <v>18</v>
      </c>
      <c r="G51" t="s">
        <v>19</v>
      </c>
      <c r="H51">
        <v>0</v>
      </c>
      <c r="I51">
        <v>1</v>
      </c>
      <c r="J51" t="s">
        <v>20</v>
      </c>
      <c r="K51" t="s">
        <v>353</v>
      </c>
      <c r="L51" t="s">
        <v>22</v>
      </c>
      <c r="M51">
        <v>41</v>
      </c>
    </row>
    <row r="52" spans="1:13" x14ac:dyDescent="0.25">
      <c r="A52" t="s">
        <v>120</v>
      </c>
      <c r="B52" t="s">
        <v>121</v>
      </c>
      <c r="C52" t="s">
        <v>350</v>
      </c>
      <c r="D52" t="s">
        <v>351</v>
      </c>
      <c r="E52" t="s">
        <v>352</v>
      </c>
      <c r="F52" t="s">
        <v>79</v>
      </c>
      <c r="G52" t="s">
        <v>80</v>
      </c>
      <c r="H52">
        <v>0</v>
      </c>
      <c r="I52">
        <v>1</v>
      </c>
      <c r="J52" t="s">
        <v>20</v>
      </c>
      <c r="K52" t="s">
        <v>353</v>
      </c>
      <c r="L52" t="s">
        <v>22</v>
      </c>
      <c r="M52">
        <v>41</v>
      </c>
    </row>
    <row r="53" spans="1:13" x14ac:dyDescent="0.25">
      <c r="A53" t="s">
        <v>120</v>
      </c>
      <c r="B53" t="s">
        <v>121</v>
      </c>
      <c r="C53" t="s">
        <v>350</v>
      </c>
      <c r="D53" t="s">
        <v>351</v>
      </c>
      <c r="E53" t="s">
        <v>352</v>
      </c>
      <c r="F53" t="s">
        <v>39</v>
      </c>
      <c r="G53" t="s">
        <v>40</v>
      </c>
      <c r="H53">
        <v>0</v>
      </c>
      <c r="I53">
        <v>2</v>
      </c>
      <c r="J53" t="s">
        <v>20</v>
      </c>
      <c r="K53" t="s">
        <v>353</v>
      </c>
      <c r="L53" t="s">
        <v>22</v>
      </c>
      <c r="M53">
        <v>41</v>
      </c>
    </row>
    <row r="54" spans="1:13" x14ac:dyDescent="0.25">
      <c r="A54" t="s">
        <v>120</v>
      </c>
      <c r="B54" t="s">
        <v>121</v>
      </c>
      <c r="C54" t="s">
        <v>350</v>
      </c>
      <c r="D54" t="s">
        <v>351</v>
      </c>
      <c r="E54" t="s">
        <v>352</v>
      </c>
      <c r="F54" t="s">
        <v>45</v>
      </c>
      <c r="G54" t="s">
        <v>46</v>
      </c>
      <c r="H54">
        <v>0</v>
      </c>
      <c r="I54">
        <v>2</v>
      </c>
      <c r="J54" t="s">
        <v>20</v>
      </c>
      <c r="K54" t="s">
        <v>353</v>
      </c>
      <c r="L54" t="s">
        <v>22</v>
      </c>
      <c r="M54">
        <v>41</v>
      </c>
    </row>
    <row r="55" spans="1:13" x14ac:dyDescent="0.25">
      <c r="A55" t="s">
        <v>120</v>
      </c>
      <c r="B55" t="s">
        <v>121</v>
      </c>
      <c r="C55" t="s">
        <v>350</v>
      </c>
      <c r="D55" t="s">
        <v>351</v>
      </c>
      <c r="E55" t="s">
        <v>352</v>
      </c>
      <c r="F55" t="s">
        <v>47</v>
      </c>
      <c r="G55" t="s">
        <v>48</v>
      </c>
      <c r="H55">
        <v>5</v>
      </c>
      <c r="I55">
        <v>0</v>
      </c>
      <c r="J55" t="s">
        <v>20</v>
      </c>
      <c r="K55" t="s">
        <v>353</v>
      </c>
      <c r="L55" t="s">
        <v>22</v>
      </c>
      <c r="M55">
        <v>41</v>
      </c>
    </row>
    <row r="56" spans="1:13" x14ac:dyDescent="0.25">
      <c r="A56" t="s">
        <v>120</v>
      </c>
      <c r="B56" t="s">
        <v>121</v>
      </c>
      <c r="C56" t="s">
        <v>350</v>
      </c>
      <c r="D56" t="s">
        <v>351</v>
      </c>
      <c r="E56" t="s">
        <v>352</v>
      </c>
      <c r="F56" t="s">
        <v>23</v>
      </c>
      <c r="G56" t="s">
        <v>24</v>
      </c>
      <c r="H56">
        <v>5</v>
      </c>
      <c r="I56">
        <v>0</v>
      </c>
      <c r="J56" t="s">
        <v>20</v>
      </c>
      <c r="K56" t="s">
        <v>353</v>
      </c>
      <c r="L56" t="s">
        <v>22</v>
      </c>
      <c r="M56">
        <v>41</v>
      </c>
    </row>
    <row r="57" spans="1:13" x14ac:dyDescent="0.25">
      <c r="A57" t="s">
        <v>120</v>
      </c>
      <c r="B57" t="s">
        <v>121</v>
      </c>
      <c r="C57" t="s">
        <v>350</v>
      </c>
      <c r="D57" t="s">
        <v>351</v>
      </c>
      <c r="E57" t="s">
        <v>352</v>
      </c>
      <c r="F57" t="s">
        <v>51</v>
      </c>
      <c r="G57" t="s">
        <v>52</v>
      </c>
      <c r="H57">
        <v>0</v>
      </c>
      <c r="I57">
        <v>2</v>
      </c>
      <c r="J57" t="s">
        <v>20</v>
      </c>
      <c r="K57" t="s">
        <v>353</v>
      </c>
      <c r="L57" t="s">
        <v>22</v>
      </c>
      <c r="M57">
        <v>41</v>
      </c>
    </row>
    <row r="58" spans="1:13" x14ac:dyDescent="0.25">
      <c r="A58" t="s">
        <v>120</v>
      </c>
      <c r="B58" t="s">
        <v>121</v>
      </c>
      <c r="C58" t="s">
        <v>350</v>
      </c>
      <c r="D58" t="s">
        <v>351</v>
      </c>
      <c r="E58" t="s">
        <v>352</v>
      </c>
      <c r="F58" t="s">
        <v>53</v>
      </c>
      <c r="G58" t="s">
        <v>54</v>
      </c>
      <c r="H58">
        <v>5</v>
      </c>
      <c r="I58">
        <v>0</v>
      </c>
      <c r="J58" t="s">
        <v>20</v>
      </c>
      <c r="K58" t="s">
        <v>353</v>
      </c>
      <c r="L58" t="s">
        <v>22</v>
      </c>
      <c r="M58">
        <v>41</v>
      </c>
    </row>
    <row r="59" spans="1:13" x14ac:dyDescent="0.25">
      <c r="A59" t="s">
        <v>120</v>
      </c>
      <c r="B59" t="s">
        <v>121</v>
      </c>
      <c r="C59" t="s">
        <v>350</v>
      </c>
      <c r="D59" t="s">
        <v>351</v>
      </c>
      <c r="E59" t="s">
        <v>352</v>
      </c>
      <c r="F59" t="s">
        <v>59</v>
      </c>
      <c r="G59" t="s">
        <v>60</v>
      </c>
      <c r="H59">
        <v>0</v>
      </c>
      <c r="I59">
        <v>5</v>
      </c>
      <c r="J59" t="s">
        <v>20</v>
      </c>
      <c r="K59" t="s">
        <v>353</v>
      </c>
      <c r="L59" t="s">
        <v>22</v>
      </c>
      <c r="M59">
        <v>41</v>
      </c>
    </row>
    <row r="60" spans="1:13" x14ac:dyDescent="0.25">
      <c r="A60" t="s">
        <v>120</v>
      </c>
      <c r="B60" t="s">
        <v>121</v>
      </c>
      <c r="C60" t="s">
        <v>350</v>
      </c>
      <c r="D60" t="s">
        <v>351</v>
      </c>
      <c r="E60" t="s">
        <v>352</v>
      </c>
      <c r="F60" t="s">
        <v>61</v>
      </c>
      <c r="G60" t="s">
        <v>62</v>
      </c>
      <c r="H60">
        <v>5</v>
      </c>
      <c r="I60">
        <v>0</v>
      </c>
      <c r="J60" t="s">
        <v>20</v>
      </c>
      <c r="K60" t="s">
        <v>353</v>
      </c>
      <c r="L60" t="s">
        <v>22</v>
      </c>
      <c r="M60">
        <v>41</v>
      </c>
    </row>
    <row r="61" spans="1:13" x14ac:dyDescent="0.25">
      <c r="A61" t="s">
        <v>120</v>
      </c>
      <c r="B61" t="s">
        <v>121</v>
      </c>
      <c r="C61" t="s">
        <v>350</v>
      </c>
      <c r="D61" t="s">
        <v>351</v>
      </c>
      <c r="E61" t="s">
        <v>352</v>
      </c>
      <c r="F61" t="s">
        <v>63</v>
      </c>
      <c r="G61" t="s">
        <v>64</v>
      </c>
      <c r="H61">
        <v>0</v>
      </c>
      <c r="I61">
        <v>2</v>
      </c>
      <c r="J61" t="s">
        <v>20</v>
      </c>
      <c r="K61" t="s">
        <v>353</v>
      </c>
      <c r="L61" t="s">
        <v>22</v>
      </c>
      <c r="M61">
        <v>41</v>
      </c>
    </row>
    <row r="62" spans="1:13" x14ac:dyDescent="0.25">
      <c r="A62" t="s">
        <v>120</v>
      </c>
      <c r="B62" t="s">
        <v>121</v>
      </c>
      <c r="C62" t="s">
        <v>350</v>
      </c>
      <c r="D62" t="s">
        <v>351</v>
      </c>
      <c r="E62" t="s">
        <v>352</v>
      </c>
      <c r="F62" t="s">
        <v>65</v>
      </c>
      <c r="G62" t="s">
        <v>66</v>
      </c>
      <c r="H62">
        <v>0</v>
      </c>
      <c r="I62">
        <v>5</v>
      </c>
      <c r="J62" t="s">
        <v>20</v>
      </c>
      <c r="K62" t="s">
        <v>353</v>
      </c>
      <c r="L62" t="s">
        <v>22</v>
      </c>
      <c r="M62">
        <v>41</v>
      </c>
    </row>
    <row r="63" spans="1:13" x14ac:dyDescent="0.25">
      <c r="A63" t="s">
        <v>120</v>
      </c>
      <c r="B63" t="s">
        <v>121</v>
      </c>
      <c r="C63" t="s">
        <v>350</v>
      </c>
      <c r="D63" t="s">
        <v>351</v>
      </c>
      <c r="E63" t="s">
        <v>352</v>
      </c>
      <c r="F63" t="s">
        <v>67</v>
      </c>
      <c r="G63" t="s">
        <v>68</v>
      </c>
      <c r="H63">
        <v>4</v>
      </c>
      <c r="I63">
        <v>0</v>
      </c>
      <c r="J63" t="s">
        <v>20</v>
      </c>
      <c r="K63" t="s">
        <v>353</v>
      </c>
      <c r="L63" t="s">
        <v>22</v>
      </c>
      <c r="M63">
        <v>41</v>
      </c>
    </row>
    <row r="64" spans="1:13" x14ac:dyDescent="0.25">
      <c r="A64" t="s">
        <v>120</v>
      </c>
      <c r="B64" t="s">
        <v>121</v>
      </c>
      <c r="C64" t="s">
        <v>350</v>
      </c>
      <c r="D64" t="s">
        <v>351</v>
      </c>
      <c r="E64" t="s">
        <v>352</v>
      </c>
      <c r="F64" t="s">
        <v>29</v>
      </c>
      <c r="G64" t="s">
        <v>30</v>
      </c>
      <c r="H64">
        <v>5</v>
      </c>
      <c r="I64">
        <v>0</v>
      </c>
      <c r="J64" t="s">
        <v>20</v>
      </c>
      <c r="K64" t="s">
        <v>353</v>
      </c>
      <c r="L64" t="s">
        <v>22</v>
      </c>
      <c r="M64">
        <v>41</v>
      </c>
    </row>
    <row r="65" spans="1:13" x14ac:dyDescent="0.25">
      <c r="A65" t="s">
        <v>120</v>
      </c>
      <c r="B65" t="s">
        <v>121</v>
      </c>
      <c r="C65" t="s">
        <v>350</v>
      </c>
      <c r="D65" t="s">
        <v>351</v>
      </c>
      <c r="E65" t="s">
        <v>352</v>
      </c>
      <c r="F65" t="s">
        <v>69</v>
      </c>
      <c r="G65" t="s">
        <v>70</v>
      </c>
      <c r="H65">
        <v>6</v>
      </c>
      <c r="I65">
        <v>0</v>
      </c>
      <c r="J65" t="s">
        <v>20</v>
      </c>
      <c r="K65" t="s">
        <v>353</v>
      </c>
      <c r="L65" t="s">
        <v>22</v>
      </c>
      <c r="M65">
        <v>41</v>
      </c>
    </row>
    <row r="66" spans="1:13" x14ac:dyDescent="0.25">
      <c r="A66" t="s">
        <v>120</v>
      </c>
      <c r="B66" t="s">
        <v>121</v>
      </c>
      <c r="C66" t="s">
        <v>350</v>
      </c>
      <c r="D66" t="s">
        <v>351</v>
      </c>
      <c r="E66" t="s">
        <v>352</v>
      </c>
      <c r="F66" t="s">
        <v>71</v>
      </c>
      <c r="G66" t="s">
        <v>72</v>
      </c>
      <c r="H66">
        <v>0</v>
      </c>
      <c r="I66">
        <v>1</v>
      </c>
      <c r="J66" t="s">
        <v>20</v>
      </c>
      <c r="K66" t="s">
        <v>353</v>
      </c>
      <c r="L66" t="s">
        <v>22</v>
      </c>
      <c r="M66">
        <v>41</v>
      </c>
    </row>
    <row r="67" spans="1:13" x14ac:dyDescent="0.25">
      <c r="A67" t="s">
        <v>120</v>
      </c>
      <c r="B67" t="s">
        <v>121</v>
      </c>
      <c r="C67" t="s">
        <v>346</v>
      </c>
      <c r="D67" t="s">
        <v>347</v>
      </c>
      <c r="E67" t="s">
        <v>348</v>
      </c>
      <c r="F67" t="s">
        <v>18</v>
      </c>
      <c r="G67" t="s">
        <v>19</v>
      </c>
      <c r="H67">
        <v>0</v>
      </c>
      <c r="I67">
        <v>4</v>
      </c>
      <c r="J67" t="s">
        <v>20</v>
      </c>
      <c r="K67" t="s">
        <v>349</v>
      </c>
      <c r="L67" t="s">
        <v>22</v>
      </c>
      <c r="M67">
        <v>44</v>
      </c>
    </row>
    <row r="68" spans="1:13" x14ac:dyDescent="0.25">
      <c r="A68" t="s">
        <v>120</v>
      </c>
      <c r="B68" t="s">
        <v>121</v>
      </c>
      <c r="C68" t="s">
        <v>346</v>
      </c>
      <c r="D68" t="s">
        <v>347</v>
      </c>
      <c r="E68" t="s">
        <v>348</v>
      </c>
      <c r="F68" t="s">
        <v>43</v>
      </c>
      <c r="G68" t="s">
        <v>44</v>
      </c>
      <c r="H68">
        <v>0</v>
      </c>
      <c r="I68">
        <v>1</v>
      </c>
      <c r="J68" t="s">
        <v>20</v>
      </c>
      <c r="K68" t="s">
        <v>349</v>
      </c>
      <c r="L68" t="s">
        <v>22</v>
      </c>
      <c r="M68">
        <v>44</v>
      </c>
    </row>
    <row r="69" spans="1:13" x14ac:dyDescent="0.25">
      <c r="A69" t="s">
        <v>120</v>
      </c>
      <c r="B69" t="s">
        <v>121</v>
      </c>
      <c r="C69" t="s">
        <v>346</v>
      </c>
      <c r="D69" t="s">
        <v>347</v>
      </c>
      <c r="E69" t="s">
        <v>348</v>
      </c>
      <c r="F69" t="s">
        <v>45</v>
      </c>
      <c r="G69" t="s">
        <v>46</v>
      </c>
      <c r="H69">
        <v>0</v>
      </c>
      <c r="I69">
        <v>4</v>
      </c>
      <c r="J69" t="s">
        <v>20</v>
      </c>
      <c r="K69" t="s">
        <v>349</v>
      </c>
      <c r="L69" t="s">
        <v>22</v>
      </c>
      <c r="M69">
        <v>44</v>
      </c>
    </row>
    <row r="70" spans="1:13" x14ac:dyDescent="0.25">
      <c r="A70" t="s">
        <v>120</v>
      </c>
      <c r="B70" t="s">
        <v>121</v>
      </c>
      <c r="C70" t="s">
        <v>346</v>
      </c>
      <c r="D70" t="s">
        <v>347</v>
      </c>
      <c r="E70" t="s">
        <v>348</v>
      </c>
      <c r="F70" t="s">
        <v>23</v>
      </c>
      <c r="G70" t="s">
        <v>24</v>
      </c>
      <c r="H70">
        <v>5</v>
      </c>
      <c r="I70">
        <v>0</v>
      </c>
      <c r="J70" t="s">
        <v>20</v>
      </c>
      <c r="K70" t="s">
        <v>349</v>
      </c>
      <c r="L70" t="s">
        <v>22</v>
      </c>
      <c r="M70">
        <v>44</v>
      </c>
    </row>
    <row r="71" spans="1:13" x14ac:dyDescent="0.25">
      <c r="A71" t="s">
        <v>120</v>
      </c>
      <c r="B71" t="s">
        <v>121</v>
      </c>
      <c r="C71" t="s">
        <v>346</v>
      </c>
      <c r="D71" t="s">
        <v>347</v>
      </c>
      <c r="E71" t="s">
        <v>348</v>
      </c>
      <c r="F71" t="s">
        <v>51</v>
      </c>
      <c r="G71" t="s">
        <v>52</v>
      </c>
      <c r="H71">
        <v>0</v>
      </c>
      <c r="I71">
        <v>6</v>
      </c>
      <c r="J71" t="s">
        <v>20</v>
      </c>
      <c r="K71" t="s">
        <v>349</v>
      </c>
      <c r="L71" t="s">
        <v>22</v>
      </c>
      <c r="M71">
        <v>44</v>
      </c>
    </row>
    <row r="72" spans="1:13" x14ac:dyDescent="0.25">
      <c r="A72" t="s">
        <v>120</v>
      </c>
      <c r="B72" t="s">
        <v>121</v>
      </c>
      <c r="C72" t="s">
        <v>346</v>
      </c>
      <c r="D72" t="s">
        <v>347</v>
      </c>
      <c r="E72" t="s">
        <v>348</v>
      </c>
      <c r="F72" t="s">
        <v>55</v>
      </c>
      <c r="G72" t="s">
        <v>56</v>
      </c>
      <c r="H72">
        <v>0</v>
      </c>
      <c r="I72">
        <v>1</v>
      </c>
      <c r="J72" t="s">
        <v>20</v>
      </c>
      <c r="K72" t="s">
        <v>349</v>
      </c>
      <c r="L72" t="s">
        <v>22</v>
      </c>
      <c r="M72">
        <v>44</v>
      </c>
    </row>
    <row r="73" spans="1:13" x14ac:dyDescent="0.25">
      <c r="A73" t="s">
        <v>120</v>
      </c>
      <c r="B73" t="s">
        <v>121</v>
      </c>
      <c r="C73" t="s">
        <v>346</v>
      </c>
      <c r="D73" t="s">
        <v>347</v>
      </c>
      <c r="E73" t="s">
        <v>348</v>
      </c>
      <c r="F73" t="s">
        <v>59</v>
      </c>
      <c r="G73" t="s">
        <v>60</v>
      </c>
      <c r="H73">
        <v>0</v>
      </c>
      <c r="I73">
        <v>2</v>
      </c>
      <c r="J73" t="s">
        <v>20</v>
      </c>
      <c r="K73" t="s">
        <v>349</v>
      </c>
      <c r="L73" t="s">
        <v>22</v>
      </c>
      <c r="M73">
        <v>44</v>
      </c>
    </row>
    <row r="74" spans="1:13" x14ac:dyDescent="0.25">
      <c r="A74" t="s">
        <v>120</v>
      </c>
      <c r="B74" t="s">
        <v>121</v>
      </c>
      <c r="C74" t="s">
        <v>346</v>
      </c>
      <c r="D74" t="s">
        <v>347</v>
      </c>
      <c r="E74" t="s">
        <v>348</v>
      </c>
      <c r="F74" t="s">
        <v>27</v>
      </c>
      <c r="G74" t="s">
        <v>28</v>
      </c>
      <c r="H74">
        <v>5</v>
      </c>
      <c r="I74">
        <v>0</v>
      </c>
      <c r="J74" t="s">
        <v>20</v>
      </c>
      <c r="K74" t="s">
        <v>349</v>
      </c>
      <c r="L74" t="s">
        <v>22</v>
      </c>
      <c r="M74">
        <v>44</v>
      </c>
    </row>
    <row r="75" spans="1:13" x14ac:dyDescent="0.25">
      <c r="A75" t="s">
        <v>120</v>
      </c>
      <c r="B75" t="s">
        <v>121</v>
      </c>
      <c r="C75" t="s">
        <v>346</v>
      </c>
      <c r="D75" t="s">
        <v>347</v>
      </c>
      <c r="E75" t="s">
        <v>348</v>
      </c>
      <c r="F75" t="s">
        <v>67</v>
      </c>
      <c r="G75" t="s">
        <v>68</v>
      </c>
      <c r="H75">
        <v>4</v>
      </c>
      <c r="I75">
        <v>0</v>
      </c>
      <c r="J75" t="s">
        <v>20</v>
      </c>
      <c r="K75" t="s">
        <v>349</v>
      </c>
      <c r="L75" t="s">
        <v>22</v>
      </c>
      <c r="M75">
        <v>44</v>
      </c>
    </row>
    <row r="76" spans="1:13" x14ac:dyDescent="0.25">
      <c r="A76" t="s">
        <v>120</v>
      </c>
      <c r="B76" t="s">
        <v>121</v>
      </c>
      <c r="C76" t="s">
        <v>346</v>
      </c>
      <c r="D76" t="s">
        <v>347</v>
      </c>
      <c r="E76" t="s">
        <v>348</v>
      </c>
      <c r="F76" t="s">
        <v>69</v>
      </c>
      <c r="G76" t="s">
        <v>70</v>
      </c>
      <c r="H76">
        <v>2</v>
      </c>
      <c r="I76">
        <v>0</v>
      </c>
      <c r="J76" t="s">
        <v>20</v>
      </c>
      <c r="K76" t="s">
        <v>349</v>
      </c>
      <c r="L76" t="s">
        <v>22</v>
      </c>
      <c r="M76">
        <v>44</v>
      </c>
    </row>
    <row r="77" spans="1:13" x14ac:dyDescent="0.25">
      <c r="A77" t="s">
        <v>120</v>
      </c>
      <c r="B77" t="s">
        <v>121</v>
      </c>
      <c r="C77" t="s">
        <v>346</v>
      </c>
      <c r="D77" t="s">
        <v>347</v>
      </c>
      <c r="E77" t="s">
        <v>348</v>
      </c>
      <c r="F77" t="s">
        <v>71</v>
      </c>
      <c r="G77" t="s">
        <v>72</v>
      </c>
      <c r="H77">
        <v>0</v>
      </c>
      <c r="I77">
        <v>2</v>
      </c>
      <c r="J77" t="s">
        <v>20</v>
      </c>
      <c r="K77" t="s">
        <v>349</v>
      </c>
      <c r="L77" t="s">
        <v>22</v>
      </c>
      <c r="M77">
        <v>44</v>
      </c>
    </row>
    <row r="78" spans="1:13" x14ac:dyDescent="0.25">
      <c r="A78" t="s">
        <v>13</v>
      </c>
      <c r="B78" t="s">
        <v>14</v>
      </c>
      <c r="C78" t="s">
        <v>342</v>
      </c>
      <c r="D78" t="s">
        <v>343</v>
      </c>
      <c r="E78" t="s">
        <v>344</v>
      </c>
      <c r="F78" t="s">
        <v>79</v>
      </c>
      <c r="G78" t="s">
        <v>80</v>
      </c>
      <c r="H78">
        <v>5</v>
      </c>
      <c r="I78">
        <v>0</v>
      </c>
      <c r="J78" t="s">
        <v>20</v>
      </c>
      <c r="K78" t="s">
        <v>345</v>
      </c>
      <c r="L78" t="s">
        <v>22</v>
      </c>
      <c r="M78">
        <v>5</v>
      </c>
    </row>
    <row r="79" spans="1:13" x14ac:dyDescent="0.25">
      <c r="A79" t="s">
        <v>13</v>
      </c>
      <c r="B79" t="s">
        <v>14</v>
      </c>
      <c r="C79" t="s">
        <v>342</v>
      </c>
      <c r="D79" t="s">
        <v>343</v>
      </c>
      <c r="E79" t="s">
        <v>344</v>
      </c>
      <c r="F79" t="s">
        <v>45</v>
      </c>
      <c r="G79" t="s">
        <v>46</v>
      </c>
      <c r="H79">
        <v>0</v>
      </c>
      <c r="I79">
        <v>1</v>
      </c>
      <c r="J79" t="s">
        <v>20</v>
      </c>
      <c r="K79" t="s">
        <v>345</v>
      </c>
      <c r="L79" t="s">
        <v>22</v>
      </c>
      <c r="M79">
        <v>5</v>
      </c>
    </row>
    <row r="80" spans="1:13" x14ac:dyDescent="0.25">
      <c r="A80" t="s">
        <v>13</v>
      </c>
      <c r="B80" t="s">
        <v>14</v>
      </c>
      <c r="C80" t="s">
        <v>342</v>
      </c>
      <c r="D80" t="s">
        <v>343</v>
      </c>
      <c r="E80" t="s">
        <v>344</v>
      </c>
      <c r="F80" t="s">
        <v>171</v>
      </c>
      <c r="G80" t="s">
        <v>172</v>
      </c>
      <c r="H80">
        <v>2</v>
      </c>
      <c r="I80">
        <v>0</v>
      </c>
      <c r="J80" t="s">
        <v>20</v>
      </c>
      <c r="K80" t="s">
        <v>345</v>
      </c>
      <c r="L80" t="s">
        <v>22</v>
      </c>
      <c r="M80">
        <v>5</v>
      </c>
    </row>
    <row r="81" spans="1:13" x14ac:dyDescent="0.25">
      <c r="A81" t="s">
        <v>13</v>
      </c>
      <c r="B81" t="s">
        <v>14</v>
      </c>
      <c r="C81" t="s">
        <v>342</v>
      </c>
      <c r="D81" t="s">
        <v>343</v>
      </c>
      <c r="E81" t="s">
        <v>344</v>
      </c>
      <c r="F81" t="s">
        <v>65</v>
      </c>
      <c r="G81" t="s">
        <v>66</v>
      </c>
      <c r="H81">
        <v>0</v>
      </c>
      <c r="I81">
        <v>2</v>
      </c>
      <c r="J81" t="s">
        <v>20</v>
      </c>
      <c r="K81" t="s">
        <v>345</v>
      </c>
      <c r="L81" t="s">
        <v>22</v>
      </c>
      <c r="M81">
        <v>5</v>
      </c>
    </row>
    <row r="82" spans="1:13" x14ac:dyDescent="0.25">
      <c r="A82" t="s">
        <v>215</v>
      </c>
      <c r="B82" t="s">
        <v>216</v>
      </c>
      <c r="C82" t="s">
        <v>338</v>
      </c>
      <c r="D82" t="s">
        <v>339</v>
      </c>
      <c r="E82" t="s">
        <v>340</v>
      </c>
      <c r="F82" t="s">
        <v>18</v>
      </c>
      <c r="G82" t="s">
        <v>19</v>
      </c>
      <c r="H82">
        <v>0</v>
      </c>
      <c r="I82">
        <v>3</v>
      </c>
      <c r="J82" t="s">
        <v>101</v>
      </c>
      <c r="K82" t="s">
        <v>341</v>
      </c>
      <c r="L82" t="s">
        <v>22</v>
      </c>
      <c r="M82">
        <v>33</v>
      </c>
    </row>
    <row r="83" spans="1:13" x14ac:dyDescent="0.25">
      <c r="A83" t="s">
        <v>215</v>
      </c>
      <c r="B83" t="s">
        <v>216</v>
      </c>
      <c r="C83" t="s">
        <v>338</v>
      </c>
      <c r="D83" t="s">
        <v>339</v>
      </c>
      <c r="E83" t="s">
        <v>340</v>
      </c>
      <c r="F83" t="s">
        <v>79</v>
      </c>
      <c r="G83" t="s">
        <v>80</v>
      </c>
      <c r="H83">
        <v>0</v>
      </c>
      <c r="I83">
        <v>1</v>
      </c>
      <c r="J83" t="s">
        <v>101</v>
      </c>
      <c r="K83" t="s">
        <v>341</v>
      </c>
      <c r="L83" t="s">
        <v>22</v>
      </c>
      <c r="M83">
        <v>33</v>
      </c>
    </row>
    <row r="84" spans="1:13" x14ac:dyDescent="0.25">
      <c r="A84" t="s">
        <v>215</v>
      </c>
      <c r="B84" t="s">
        <v>216</v>
      </c>
      <c r="C84" t="s">
        <v>338</v>
      </c>
      <c r="D84" t="s">
        <v>339</v>
      </c>
      <c r="E84" t="s">
        <v>340</v>
      </c>
      <c r="F84" t="s">
        <v>39</v>
      </c>
      <c r="G84" t="s">
        <v>40</v>
      </c>
      <c r="H84">
        <v>0</v>
      </c>
      <c r="I84">
        <v>1</v>
      </c>
      <c r="J84" t="s">
        <v>101</v>
      </c>
      <c r="K84" t="s">
        <v>341</v>
      </c>
      <c r="L84" t="s">
        <v>22</v>
      </c>
      <c r="M84">
        <v>33</v>
      </c>
    </row>
    <row r="85" spans="1:13" x14ac:dyDescent="0.25">
      <c r="A85" t="s">
        <v>215</v>
      </c>
      <c r="B85" t="s">
        <v>216</v>
      </c>
      <c r="C85" t="s">
        <v>338</v>
      </c>
      <c r="D85" t="s">
        <v>339</v>
      </c>
      <c r="E85" t="s">
        <v>340</v>
      </c>
      <c r="F85" t="s">
        <v>43</v>
      </c>
      <c r="G85" t="s">
        <v>44</v>
      </c>
      <c r="H85">
        <v>0</v>
      </c>
      <c r="I85">
        <v>2</v>
      </c>
      <c r="J85" t="s">
        <v>101</v>
      </c>
      <c r="K85" t="s">
        <v>341</v>
      </c>
      <c r="L85" t="s">
        <v>22</v>
      </c>
      <c r="M85">
        <v>33</v>
      </c>
    </row>
    <row r="86" spans="1:13" x14ac:dyDescent="0.25">
      <c r="A86" t="s">
        <v>215</v>
      </c>
      <c r="B86" t="s">
        <v>216</v>
      </c>
      <c r="C86" t="s">
        <v>338</v>
      </c>
      <c r="D86" t="s">
        <v>339</v>
      </c>
      <c r="E86" t="s">
        <v>340</v>
      </c>
      <c r="F86" t="s">
        <v>45</v>
      </c>
      <c r="G86" t="s">
        <v>46</v>
      </c>
      <c r="H86">
        <v>0</v>
      </c>
      <c r="I86">
        <v>12</v>
      </c>
      <c r="J86" t="s">
        <v>101</v>
      </c>
      <c r="K86" t="s">
        <v>341</v>
      </c>
      <c r="L86" t="s">
        <v>22</v>
      </c>
      <c r="M86">
        <v>33</v>
      </c>
    </row>
    <row r="87" spans="1:13" x14ac:dyDescent="0.25">
      <c r="A87" t="s">
        <v>215</v>
      </c>
      <c r="B87" t="s">
        <v>216</v>
      </c>
      <c r="C87" t="s">
        <v>338</v>
      </c>
      <c r="D87" t="s">
        <v>339</v>
      </c>
      <c r="E87" t="s">
        <v>340</v>
      </c>
      <c r="F87" t="s">
        <v>49</v>
      </c>
      <c r="G87" t="s">
        <v>50</v>
      </c>
      <c r="H87">
        <v>0</v>
      </c>
      <c r="I87">
        <v>1</v>
      </c>
      <c r="J87" t="s">
        <v>101</v>
      </c>
      <c r="K87" t="s">
        <v>341</v>
      </c>
      <c r="L87" t="s">
        <v>22</v>
      </c>
      <c r="M87">
        <v>33</v>
      </c>
    </row>
    <row r="88" spans="1:13" x14ac:dyDescent="0.25">
      <c r="A88" t="s">
        <v>215</v>
      </c>
      <c r="B88" t="s">
        <v>216</v>
      </c>
      <c r="C88" t="s">
        <v>338</v>
      </c>
      <c r="D88" t="s">
        <v>339</v>
      </c>
      <c r="E88" t="s">
        <v>340</v>
      </c>
      <c r="F88" t="s">
        <v>51</v>
      </c>
      <c r="G88" t="s">
        <v>52</v>
      </c>
      <c r="H88">
        <v>0</v>
      </c>
      <c r="I88">
        <v>15</v>
      </c>
      <c r="J88" t="s">
        <v>101</v>
      </c>
      <c r="K88" t="s">
        <v>341</v>
      </c>
      <c r="L88" t="s">
        <v>22</v>
      </c>
      <c r="M88">
        <v>33</v>
      </c>
    </row>
    <row r="89" spans="1:13" x14ac:dyDescent="0.25">
      <c r="A89" t="s">
        <v>215</v>
      </c>
      <c r="B89" t="s">
        <v>216</v>
      </c>
      <c r="C89" t="s">
        <v>338</v>
      </c>
      <c r="D89" t="s">
        <v>339</v>
      </c>
      <c r="E89" t="s">
        <v>340</v>
      </c>
      <c r="F89" t="s">
        <v>53</v>
      </c>
      <c r="G89" t="s">
        <v>54</v>
      </c>
      <c r="H89">
        <v>0</v>
      </c>
      <c r="I89">
        <v>1</v>
      </c>
      <c r="J89" t="s">
        <v>101</v>
      </c>
      <c r="K89" t="s">
        <v>341</v>
      </c>
      <c r="L89" t="s">
        <v>22</v>
      </c>
      <c r="M89">
        <v>33</v>
      </c>
    </row>
    <row r="90" spans="1:13" x14ac:dyDescent="0.25">
      <c r="A90" t="s">
        <v>215</v>
      </c>
      <c r="B90" t="s">
        <v>216</v>
      </c>
      <c r="C90" t="s">
        <v>338</v>
      </c>
      <c r="D90" t="s">
        <v>339</v>
      </c>
      <c r="E90" t="s">
        <v>340</v>
      </c>
      <c r="F90" t="s">
        <v>59</v>
      </c>
      <c r="G90" t="s">
        <v>60</v>
      </c>
      <c r="H90">
        <v>0</v>
      </c>
      <c r="I90">
        <v>12</v>
      </c>
      <c r="J90" t="s">
        <v>101</v>
      </c>
      <c r="K90" t="s">
        <v>341</v>
      </c>
      <c r="L90" t="s">
        <v>22</v>
      </c>
      <c r="M90">
        <v>33</v>
      </c>
    </row>
    <row r="91" spans="1:13" x14ac:dyDescent="0.25">
      <c r="A91" t="s">
        <v>215</v>
      </c>
      <c r="B91" t="s">
        <v>216</v>
      </c>
      <c r="C91" t="s">
        <v>338</v>
      </c>
      <c r="D91" t="s">
        <v>339</v>
      </c>
      <c r="E91" t="s">
        <v>340</v>
      </c>
      <c r="F91" t="s">
        <v>61</v>
      </c>
      <c r="G91" t="s">
        <v>62</v>
      </c>
      <c r="H91">
        <v>0</v>
      </c>
      <c r="I91">
        <v>3</v>
      </c>
      <c r="J91" t="s">
        <v>101</v>
      </c>
      <c r="K91" t="s">
        <v>341</v>
      </c>
      <c r="L91" t="s">
        <v>22</v>
      </c>
      <c r="M91">
        <v>33</v>
      </c>
    </row>
    <row r="92" spans="1:13" x14ac:dyDescent="0.25">
      <c r="A92" t="s">
        <v>215</v>
      </c>
      <c r="B92" t="s">
        <v>216</v>
      </c>
      <c r="C92" t="s">
        <v>338</v>
      </c>
      <c r="D92" t="s">
        <v>339</v>
      </c>
      <c r="E92" t="s">
        <v>340</v>
      </c>
      <c r="F92" t="s">
        <v>25</v>
      </c>
      <c r="G92" t="s">
        <v>26</v>
      </c>
      <c r="H92">
        <v>0</v>
      </c>
      <c r="I92">
        <v>2</v>
      </c>
      <c r="J92" t="s">
        <v>101</v>
      </c>
      <c r="K92" t="s">
        <v>341</v>
      </c>
      <c r="L92" t="s">
        <v>22</v>
      </c>
      <c r="M92">
        <v>33</v>
      </c>
    </row>
    <row r="93" spans="1:13" x14ac:dyDescent="0.25">
      <c r="A93" t="s">
        <v>215</v>
      </c>
      <c r="B93" t="s">
        <v>216</v>
      </c>
      <c r="C93" t="s">
        <v>338</v>
      </c>
      <c r="D93" t="s">
        <v>339</v>
      </c>
      <c r="E93" t="s">
        <v>340</v>
      </c>
      <c r="F93" t="s">
        <v>27</v>
      </c>
      <c r="G93" t="s">
        <v>28</v>
      </c>
      <c r="H93">
        <v>0</v>
      </c>
      <c r="I93">
        <v>1</v>
      </c>
      <c r="J93" t="s">
        <v>101</v>
      </c>
      <c r="K93" t="s">
        <v>341</v>
      </c>
      <c r="L93" t="s">
        <v>22</v>
      </c>
      <c r="M93">
        <v>33</v>
      </c>
    </row>
    <row r="94" spans="1:13" x14ac:dyDescent="0.25">
      <c r="A94" t="s">
        <v>215</v>
      </c>
      <c r="B94" t="s">
        <v>216</v>
      </c>
      <c r="C94" t="s">
        <v>338</v>
      </c>
      <c r="D94" t="s">
        <v>339</v>
      </c>
      <c r="E94" t="s">
        <v>340</v>
      </c>
      <c r="F94" t="s">
        <v>65</v>
      </c>
      <c r="G94" t="s">
        <v>66</v>
      </c>
      <c r="H94">
        <v>0</v>
      </c>
      <c r="I94">
        <v>6</v>
      </c>
      <c r="J94" t="s">
        <v>101</v>
      </c>
      <c r="K94" t="s">
        <v>341</v>
      </c>
      <c r="L94" t="s">
        <v>22</v>
      </c>
      <c r="M94">
        <v>33</v>
      </c>
    </row>
    <row r="95" spans="1:13" x14ac:dyDescent="0.25">
      <c r="A95" t="s">
        <v>215</v>
      </c>
      <c r="B95" t="s">
        <v>216</v>
      </c>
      <c r="C95" t="s">
        <v>338</v>
      </c>
      <c r="D95" t="s">
        <v>339</v>
      </c>
      <c r="E95" t="s">
        <v>340</v>
      </c>
      <c r="F95" t="s">
        <v>67</v>
      </c>
      <c r="G95" t="s">
        <v>68</v>
      </c>
      <c r="H95">
        <v>0</v>
      </c>
      <c r="I95">
        <v>2</v>
      </c>
      <c r="J95" t="s">
        <v>101</v>
      </c>
      <c r="K95" t="s">
        <v>341</v>
      </c>
      <c r="L95" t="s">
        <v>22</v>
      </c>
      <c r="M95">
        <v>33</v>
      </c>
    </row>
    <row r="96" spans="1:13" x14ac:dyDescent="0.25">
      <c r="A96" t="s">
        <v>215</v>
      </c>
      <c r="B96" t="s">
        <v>216</v>
      </c>
      <c r="C96" t="s">
        <v>338</v>
      </c>
      <c r="D96" t="s">
        <v>339</v>
      </c>
      <c r="E96" t="s">
        <v>340</v>
      </c>
      <c r="F96" t="s">
        <v>71</v>
      </c>
      <c r="G96" t="s">
        <v>72</v>
      </c>
      <c r="H96">
        <v>0</v>
      </c>
      <c r="I96">
        <v>5</v>
      </c>
      <c r="J96" t="s">
        <v>101</v>
      </c>
      <c r="K96" t="s">
        <v>341</v>
      </c>
      <c r="L96" t="s">
        <v>22</v>
      </c>
      <c r="M96">
        <v>33</v>
      </c>
    </row>
    <row r="97" spans="1:13" x14ac:dyDescent="0.25">
      <c r="A97" t="s">
        <v>152</v>
      </c>
      <c r="B97" t="s">
        <v>153</v>
      </c>
      <c r="C97" t="s">
        <v>331</v>
      </c>
      <c r="D97" t="s">
        <v>332</v>
      </c>
      <c r="E97" t="s">
        <v>333</v>
      </c>
      <c r="F97" t="s">
        <v>18</v>
      </c>
      <c r="G97" t="s">
        <v>19</v>
      </c>
      <c r="H97">
        <v>0</v>
      </c>
      <c r="I97">
        <v>2</v>
      </c>
      <c r="J97" t="s">
        <v>101</v>
      </c>
      <c r="K97" t="s">
        <v>334</v>
      </c>
      <c r="L97" t="s">
        <v>22</v>
      </c>
      <c r="M97">
        <v>47</v>
      </c>
    </row>
    <row r="98" spans="1:13" x14ac:dyDescent="0.25">
      <c r="A98" t="s">
        <v>152</v>
      </c>
      <c r="B98" t="s">
        <v>153</v>
      </c>
      <c r="C98" t="s">
        <v>331</v>
      </c>
      <c r="D98" t="s">
        <v>332</v>
      </c>
      <c r="E98" t="s">
        <v>333</v>
      </c>
      <c r="F98" t="s">
        <v>79</v>
      </c>
      <c r="G98" t="s">
        <v>80</v>
      </c>
      <c r="H98">
        <v>0</v>
      </c>
      <c r="I98">
        <v>1</v>
      </c>
      <c r="J98" t="s">
        <v>101</v>
      </c>
      <c r="K98" t="s">
        <v>334</v>
      </c>
      <c r="L98" t="s">
        <v>22</v>
      </c>
      <c r="M98">
        <v>47</v>
      </c>
    </row>
    <row r="99" spans="1:13" x14ac:dyDescent="0.25">
      <c r="A99" t="s">
        <v>152</v>
      </c>
      <c r="B99" t="s">
        <v>153</v>
      </c>
      <c r="C99" t="s">
        <v>331</v>
      </c>
      <c r="D99" t="s">
        <v>332</v>
      </c>
      <c r="E99" t="s">
        <v>333</v>
      </c>
      <c r="F99" t="s">
        <v>41</v>
      </c>
      <c r="G99" t="s">
        <v>42</v>
      </c>
      <c r="H99">
        <v>6</v>
      </c>
      <c r="I99">
        <v>0</v>
      </c>
      <c r="J99" t="s">
        <v>101</v>
      </c>
      <c r="K99" t="s">
        <v>334</v>
      </c>
      <c r="L99" t="s">
        <v>22</v>
      </c>
      <c r="M99">
        <v>47</v>
      </c>
    </row>
    <row r="100" spans="1:13" x14ac:dyDescent="0.25">
      <c r="A100" t="s">
        <v>152</v>
      </c>
      <c r="B100" t="s">
        <v>153</v>
      </c>
      <c r="C100" t="s">
        <v>331</v>
      </c>
      <c r="D100" t="s">
        <v>332</v>
      </c>
      <c r="E100" t="s">
        <v>333</v>
      </c>
      <c r="F100" t="s">
        <v>45</v>
      </c>
      <c r="G100" t="s">
        <v>46</v>
      </c>
      <c r="H100">
        <v>0</v>
      </c>
      <c r="I100">
        <v>8</v>
      </c>
      <c r="J100" t="s">
        <v>101</v>
      </c>
      <c r="K100" t="s">
        <v>334</v>
      </c>
      <c r="L100" t="s">
        <v>22</v>
      </c>
      <c r="M100">
        <v>47</v>
      </c>
    </row>
    <row r="101" spans="1:13" x14ac:dyDescent="0.25">
      <c r="A101" t="s">
        <v>152</v>
      </c>
      <c r="B101" t="s">
        <v>153</v>
      </c>
      <c r="C101" t="s">
        <v>331</v>
      </c>
      <c r="D101" t="s">
        <v>332</v>
      </c>
      <c r="E101" t="s">
        <v>333</v>
      </c>
      <c r="F101" t="s">
        <v>49</v>
      </c>
      <c r="G101" t="s">
        <v>50</v>
      </c>
      <c r="H101">
        <v>0</v>
      </c>
      <c r="I101">
        <v>1</v>
      </c>
      <c r="J101" t="s">
        <v>101</v>
      </c>
      <c r="K101" t="s">
        <v>334</v>
      </c>
      <c r="L101" t="s">
        <v>22</v>
      </c>
      <c r="M101">
        <v>47</v>
      </c>
    </row>
    <row r="102" spans="1:13" x14ac:dyDescent="0.25">
      <c r="A102" t="s">
        <v>152</v>
      </c>
      <c r="B102" t="s">
        <v>153</v>
      </c>
      <c r="C102" t="s">
        <v>331</v>
      </c>
      <c r="D102" t="s">
        <v>332</v>
      </c>
      <c r="E102" t="s">
        <v>333</v>
      </c>
      <c r="F102" t="s">
        <v>51</v>
      </c>
      <c r="G102" t="s">
        <v>52</v>
      </c>
      <c r="H102">
        <v>0</v>
      </c>
      <c r="I102">
        <v>25</v>
      </c>
      <c r="J102" t="s">
        <v>101</v>
      </c>
      <c r="K102" t="s">
        <v>334</v>
      </c>
      <c r="L102" t="s">
        <v>22</v>
      </c>
      <c r="M102">
        <v>47</v>
      </c>
    </row>
    <row r="103" spans="1:13" x14ac:dyDescent="0.25">
      <c r="A103" t="s">
        <v>152</v>
      </c>
      <c r="B103" t="s">
        <v>153</v>
      </c>
      <c r="C103" t="s">
        <v>331</v>
      </c>
      <c r="D103" t="s">
        <v>332</v>
      </c>
      <c r="E103" t="s">
        <v>333</v>
      </c>
      <c r="F103" t="s">
        <v>57</v>
      </c>
      <c r="G103" t="s">
        <v>58</v>
      </c>
      <c r="H103">
        <v>6</v>
      </c>
      <c r="I103">
        <v>0</v>
      </c>
      <c r="J103" t="s">
        <v>101</v>
      </c>
      <c r="K103" t="s">
        <v>334</v>
      </c>
      <c r="L103" t="s">
        <v>22</v>
      </c>
      <c r="M103">
        <v>47</v>
      </c>
    </row>
    <row r="104" spans="1:13" x14ac:dyDescent="0.25">
      <c r="A104" t="s">
        <v>152</v>
      </c>
      <c r="B104" t="s">
        <v>153</v>
      </c>
      <c r="C104" t="s">
        <v>331</v>
      </c>
      <c r="D104" t="s">
        <v>332</v>
      </c>
      <c r="E104" t="s">
        <v>333</v>
      </c>
      <c r="F104" t="s">
        <v>59</v>
      </c>
      <c r="G104" t="s">
        <v>60</v>
      </c>
      <c r="H104">
        <v>0</v>
      </c>
      <c r="I104">
        <v>7</v>
      </c>
      <c r="J104" t="s">
        <v>101</v>
      </c>
      <c r="K104" t="s">
        <v>334</v>
      </c>
      <c r="L104" t="s">
        <v>22</v>
      </c>
      <c r="M104">
        <v>47</v>
      </c>
    </row>
    <row r="105" spans="1:13" x14ac:dyDescent="0.25">
      <c r="A105" t="s">
        <v>152</v>
      </c>
      <c r="B105" t="s">
        <v>153</v>
      </c>
      <c r="C105" t="s">
        <v>331</v>
      </c>
      <c r="D105" t="s">
        <v>332</v>
      </c>
      <c r="E105" t="s">
        <v>333</v>
      </c>
      <c r="F105" t="s">
        <v>61</v>
      </c>
      <c r="G105" t="s">
        <v>62</v>
      </c>
      <c r="H105">
        <v>0</v>
      </c>
      <c r="I105">
        <v>1</v>
      </c>
      <c r="J105" t="s">
        <v>101</v>
      </c>
      <c r="K105" t="s">
        <v>334</v>
      </c>
      <c r="L105" t="s">
        <v>22</v>
      </c>
      <c r="M105">
        <v>47</v>
      </c>
    </row>
    <row r="106" spans="1:13" x14ac:dyDescent="0.25">
      <c r="A106" t="s">
        <v>152</v>
      </c>
      <c r="B106" t="s">
        <v>153</v>
      </c>
      <c r="C106" t="s">
        <v>331</v>
      </c>
      <c r="D106" t="s">
        <v>332</v>
      </c>
      <c r="E106" t="s">
        <v>333</v>
      </c>
      <c r="F106" t="s">
        <v>63</v>
      </c>
      <c r="G106" t="s">
        <v>64</v>
      </c>
      <c r="H106">
        <v>0</v>
      </c>
      <c r="I106">
        <v>1</v>
      </c>
      <c r="J106" t="s">
        <v>101</v>
      </c>
      <c r="K106" t="s">
        <v>334</v>
      </c>
      <c r="L106" t="s">
        <v>22</v>
      </c>
      <c r="M106">
        <v>47</v>
      </c>
    </row>
    <row r="107" spans="1:13" x14ac:dyDescent="0.25">
      <c r="A107" t="s">
        <v>152</v>
      </c>
      <c r="B107" t="s">
        <v>153</v>
      </c>
      <c r="C107" t="s">
        <v>331</v>
      </c>
      <c r="D107" t="s">
        <v>332</v>
      </c>
      <c r="E107" t="s">
        <v>333</v>
      </c>
      <c r="F107" t="s">
        <v>25</v>
      </c>
      <c r="G107" t="s">
        <v>26</v>
      </c>
      <c r="H107">
        <v>0</v>
      </c>
      <c r="I107">
        <v>1</v>
      </c>
      <c r="J107" t="s">
        <v>101</v>
      </c>
      <c r="K107" t="s">
        <v>334</v>
      </c>
      <c r="L107" t="s">
        <v>22</v>
      </c>
      <c r="M107">
        <v>47</v>
      </c>
    </row>
    <row r="108" spans="1:13" x14ac:dyDescent="0.25">
      <c r="A108" t="s">
        <v>152</v>
      </c>
      <c r="B108" t="s">
        <v>153</v>
      </c>
      <c r="C108" t="s">
        <v>331</v>
      </c>
      <c r="D108" t="s">
        <v>332</v>
      </c>
      <c r="E108" t="s">
        <v>333</v>
      </c>
      <c r="F108" t="s">
        <v>27</v>
      </c>
      <c r="G108" t="s">
        <v>28</v>
      </c>
      <c r="H108">
        <v>0</v>
      </c>
      <c r="I108">
        <v>2</v>
      </c>
      <c r="J108" t="s">
        <v>101</v>
      </c>
      <c r="K108" t="s">
        <v>334</v>
      </c>
      <c r="L108" t="s">
        <v>22</v>
      </c>
      <c r="M108">
        <v>47</v>
      </c>
    </row>
    <row r="109" spans="1:13" x14ac:dyDescent="0.25">
      <c r="A109" t="s">
        <v>152</v>
      </c>
      <c r="B109" t="s">
        <v>153</v>
      </c>
      <c r="C109" t="s">
        <v>331</v>
      </c>
      <c r="D109" t="s">
        <v>332</v>
      </c>
      <c r="E109" t="s">
        <v>333</v>
      </c>
      <c r="F109" t="s">
        <v>65</v>
      </c>
      <c r="G109" t="s">
        <v>66</v>
      </c>
      <c r="H109">
        <v>0</v>
      </c>
      <c r="I109">
        <v>10</v>
      </c>
      <c r="J109" t="s">
        <v>101</v>
      </c>
      <c r="K109" t="s">
        <v>334</v>
      </c>
      <c r="L109" t="s">
        <v>22</v>
      </c>
      <c r="M109">
        <v>47</v>
      </c>
    </row>
    <row r="110" spans="1:13" x14ac:dyDescent="0.25">
      <c r="A110" t="s">
        <v>152</v>
      </c>
      <c r="B110" t="s">
        <v>153</v>
      </c>
      <c r="C110" t="s">
        <v>331</v>
      </c>
      <c r="D110" t="s">
        <v>332</v>
      </c>
      <c r="E110" t="s">
        <v>333</v>
      </c>
      <c r="F110" t="s">
        <v>67</v>
      </c>
      <c r="G110" t="s">
        <v>68</v>
      </c>
      <c r="H110">
        <v>0</v>
      </c>
      <c r="I110">
        <v>4</v>
      </c>
      <c r="J110" t="s">
        <v>101</v>
      </c>
      <c r="K110" t="s">
        <v>334</v>
      </c>
      <c r="L110" t="s">
        <v>22</v>
      </c>
      <c r="M110">
        <v>47</v>
      </c>
    </row>
    <row r="111" spans="1:13" x14ac:dyDescent="0.25">
      <c r="A111" t="s">
        <v>152</v>
      </c>
      <c r="B111" t="s">
        <v>153</v>
      </c>
      <c r="C111" t="s">
        <v>331</v>
      </c>
      <c r="D111" t="s">
        <v>332</v>
      </c>
      <c r="E111" t="s">
        <v>333</v>
      </c>
      <c r="F111" t="s">
        <v>29</v>
      </c>
      <c r="G111" t="s">
        <v>30</v>
      </c>
      <c r="H111">
        <v>0</v>
      </c>
      <c r="I111">
        <v>2</v>
      </c>
      <c r="J111" t="s">
        <v>101</v>
      </c>
      <c r="K111" t="s">
        <v>334</v>
      </c>
      <c r="L111" t="s">
        <v>22</v>
      </c>
      <c r="M111">
        <v>47</v>
      </c>
    </row>
    <row r="112" spans="1:13" x14ac:dyDescent="0.25">
      <c r="A112" t="s">
        <v>152</v>
      </c>
      <c r="B112" t="s">
        <v>153</v>
      </c>
      <c r="C112" t="s">
        <v>331</v>
      </c>
      <c r="D112" t="s">
        <v>332</v>
      </c>
      <c r="E112" t="s">
        <v>333</v>
      </c>
      <c r="F112" t="s">
        <v>71</v>
      </c>
      <c r="G112" t="s">
        <v>72</v>
      </c>
      <c r="H112">
        <v>0</v>
      </c>
      <c r="I112">
        <v>6</v>
      </c>
      <c r="J112" t="s">
        <v>101</v>
      </c>
      <c r="K112" t="s">
        <v>334</v>
      </c>
      <c r="L112" t="s">
        <v>22</v>
      </c>
      <c r="M112">
        <v>47</v>
      </c>
    </row>
    <row r="113" spans="1:13" x14ac:dyDescent="0.25">
      <c r="A113" t="s">
        <v>152</v>
      </c>
      <c r="B113" t="s">
        <v>153</v>
      </c>
      <c r="C113" t="s">
        <v>331</v>
      </c>
      <c r="D113" t="s">
        <v>332</v>
      </c>
      <c r="E113" t="s">
        <v>333</v>
      </c>
      <c r="F113" t="s">
        <v>31</v>
      </c>
      <c r="G113" t="s">
        <v>32</v>
      </c>
      <c r="H113">
        <v>0</v>
      </c>
      <c r="I113">
        <v>1</v>
      </c>
      <c r="J113" t="s">
        <v>101</v>
      </c>
      <c r="K113" t="s">
        <v>334</v>
      </c>
      <c r="L113" t="s">
        <v>22</v>
      </c>
      <c r="M113">
        <v>47</v>
      </c>
    </row>
    <row r="114" spans="1:13" x14ac:dyDescent="0.25">
      <c r="A114" t="s">
        <v>96</v>
      </c>
      <c r="B114" t="s">
        <v>97</v>
      </c>
      <c r="C114" t="s">
        <v>335</v>
      </c>
      <c r="D114" t="s">
        <v>336</v>
      </c>
      <c r="E114" t="s">
        <v>337</v>
      </c>
      <c r="F114" t="s">
        <v>18</v>
      </c>
      <c r="G114" t="s">
        <v>19</v>
      </c>
      <c r="H114">
        <v>0</v>
      </c>
      <c r="I114">
        <v>1</v>
      </c>
      <c r="J114" t="s">
        <v>101</v>
      </c>
      <c r="K114" t="s">
        <v>334</v>
      </c>
      <c r="L114" t="s">
        <v>22</v>
      </c>
      <c r="M114">
        <v>32</v>
      </c>
    </row>
    <row r="115" spans="1:13" x14ac:dyDescent="0.25">
      <c r="A115" t="s">
        <v>96</v>
      </c>
      <c r="B115" t="s">
        <v>97</v>
      </c>
      <c r="C115" t="s">
        <v>335</v>
      </c>
      <c r="D115" t="s">
        <v>336</v>
      </c>
      <c r="E115" t="s">
        <v>337</v>
      </c>
      <c r="F115" t="s">
        <v>79</v>
      </c>
      <c r="G115" t="s">
        <v>80</v>
      </c>
      <c r="H115">
        <v>0</v>
      </c>
      <c r="I115">
        <v>1</v>
      </c>
      <c r="J115" t="s">
        <v>101</v>
      </c>
      <c r="K115" t="s">
        <v>334</v>
      </c>
      <c r="L115" t="s">
        <v>22</v>
      </c>
      <c r="M115">
        <v>32</v>
      </c>
    </row>
    <row r="116" spans="1:13" x14ac:dyDescent="0.25">
      <c r="A116" t="s">
        <v>96</v>
      </c>
      <c r="B116" t="s">
        <v>97</v>
      </c>
      <c r="C116" t="s">
        <v>335</v>
      </c>
      <c r="D116" t="s">
        <v>336</v>
      </c>
      <c r="E116" t="s">
        <v>337</v>
      </c>
      <c r="F116" t="s">
        <v>39</v>
      </c>
      <c r="G116" t="s">
        <v>40</v>
      </c>
      <c r="H116">
        <v>0</v>
      </c>
      <c r="I116">
        <v>1</v>
      </c>
      <c r="J116" t="s">
        <v>101</v>
      </c>
      <c r="K116" t="s">
        <v>334</v>
      </c>
      <c r="L116" t="s">
        <v>22</v>
      </c>
      <c r="M116">
        <v>32</v>
      </c>
    </row>
    <row r="117" spans="1:13" x14ac:dyDescent="0.25">
      <c r="A117" t="s">
        <v>96</v>
      </c>
      <c r="B117" t="s">
        <v>97</v>
      </c>
      <c r="C117" t="s">
        <v>335</v>
      </c>
      <c r="D117" t="s">
        <v>336</v>
      </c>
      <c r="E117" t="s">
        <v>337</v>
      </c>
      <c r="F117" t="s">
        <v>45</v>
      </c>
      <c r="G117" t="s">
        <v>46</v>
      </c>
      <c r="H117">
        <v>0</v>
      </c>
      <c r="I117">
        <v>4</v>
      </c>
      <c r="J117" t="s">
        <v>101</v>
      </c>
      <c r="K117" t="s">
        <v>334</v>
      </c>
      <c r="L117" t="s">
        <v>22</v>
      </c>
      <c r="M117">
        <v>32</v>
      </c>
    </row>
    <row r="118" spans="1:13" x14ac:dyDescent="0.25">
      <c r="A118" t="s">
        <v>96</v>
      </c>
      <c r="B118" t="s">
        <v>97</v>
      </c>
      <c r="C118" t="s">
        <v>335</v>
      </c>
      <c r="D118" t="s">
        <v>336</v>
      </c>
      <c r="E118" t="s">
        <v>337</v>
      </c>
      <c r="F118" t="s">
        <v>47</v>
      </c>
      <c r="G118" t="s">
        <v>48</v>
      </c>
      <c r="H118">
        <v>0</v>
      </c>
      <c r="I118">
        <v>2</v>
      </c>
      <c r="J118" t="s">
        <v>101</v>
      </c>
      <c r="K118" t="s">
        <v>334</v>
      </c>
      <c r="L118" t="s">
        <v>22</v>
      </c>
      <c r="M118">
        <v>32</v>
      </c>
    </row>
    <row r="119" spans="1:13" x14ac:dyDescent="0.25">
      <c r="A119" t="s">
        <v>96</v>
      </c>
      <c r="B119" t="s">
        <v>97</v>
      </c>
      <c r="C119" t="s">
        <v>335</v>
      </c>
      <c r="D119" t="s">
        <v>336</v>
      </c>
      <c r="E119" t="s">
        <v>337</v>
      </c>
      <c r="F119" t="s">
        <v>23</v>
      </c>
      <c r="G119" t="s">
        <v>24</v>
      </c>
      <c r="H119">
        <v>0</v>
      </c>
      <c r="I119">
        <v>2</v>
      </c>
      <c r="J119" t="s">
        <v>101</v>
      </c>
      <c r="K119" t="s">
        <v>334</v>
      </c>
      <c r="L119" t="s">
        <v>22</v>
      </c>
      <c r="M119">
        <v>32</v>
      </c>
    </row>
    <row r="120" spans="1:13" x14ac:dyDescent="0.25">
      <c r="A120" t="s">
        <v>96</v>
      </c>
      <c r="B120" t="s">
        <v>97</v>
      </c>
      <c r="C120" t="s">
        <v>335</v>
      </c>
      <c r="D120" t="s">
        <v>336</v>
      </c>
      <c r="E120" t="s">
        <v>337</v>
      </c>
      <c r="F120" t="s">
        <v>51</v>
      </c>
      <c r="G120" t="s">
        <v>52</v>
      </c>
      <c r="H120">
        <v>0</v>
      </c>
      <c r="I120">
        <v>3</v>
      </c>
      <c r="J120" t="s">
        <v>101</v>
      </c>
      <c r="K120" t="s">
        <v>334</v>
      </c>
      <c r="L120" t="s">
        <v>22</v>
      </c>
      <c r="M120">
        <v>32</v>
      </c>
    </row>
    <row r="121" spans="1:13" x14ac:dyDescent="0.25">
      <c r="A121" t="s">
        <v>96</v>
      </c>
      <c r="B121" t="s">
        <v>97</v>
      </c>
      <c r="C121" t="s">
        <v>335</v>
      </c>
      <c r="D121" t="s">
        <v>336</v>
      </c>
      <c r="E121" t="s">
        <v>337</v>
      </c>
      <c r="F121" t="s">
        <v>27</v>
      </c>
      <c r="G121" t="s">
        <v>28</v>
      </c>
      <c r="H121">
        <v>0</v>
      </c>
      <c r="I121">
        <v>1</v>
      </c>
      <c r="J121" t="s">
        <v>101</v>
      </c>
      <c r="K121" t="s">
        <v>334</v>
      </c>
      <c r="L121" t="s">
        <v>22</v>
      </c>
      <c r="M121">
        <v>32</v>
      </c>
    </row>
    <row r="122" spans="1:13" x14ac:dyDescent="0.25">
      <c r="A122" t="s">
        <v>96</v>
      </c>
      <c r="B122" t="s">
        <v>97</v>
      </c>
      <c r="C122" t="s">
        <v>335</v>
      </c>
      <c r="D122" t="s">
        <v>336</v>
      </c>
      <c r="E122" t="s">
        <v>337</v>
      </c>
      <c r="F122" t="s">
        <v>65</v>
      </c>
      <c r="G122" t="s">
        <v>66</v>
      </c>
      <c r="H122">
        <v>0</v>
      </c>
      <c r="I122">
        <v>8</v>
      </c>
      <c r="J122" t="s">
        <v>101</v>
      </c>
      <c r="K122" t="s">
        <v>334</v>
      </c>
      <c r="L122" t="s">
        <v>22</v>
      </c>
      <c r="M122">
        <v>32</v>
      </c>
    </row>
    <row r="123" spans="1:13" x14ac:dyDescent="0.25">
      <c r="A123" t="s">
        <v>96</v>
      </c>
      <c r="B123" t="s">
        <v>97</v>
      </c>
      <c r="C123" t="s">
        <v>335</v>
      </c>
      <c r="D123" t="s">
        <v>336</v>
      </c>
      <c r="E123" t="s">
        <v>337</v>
      </c>
      <c r="F123" t="s">
        <v>69</v>
      </c>
      <c r="G123" t="s">
        <v>70</v>
      </c>
      <c r="H123">
        <v>6</v>
      </c>
      <c r="I123">
        <v>0</v>
      </c>
      <c r="J123" t="s">
        <v>101</v>
      </c>
      <c r="K123" t="s">
        <v>334</v>
      </c>
      <c r="L123" t="s">
        <v>22</v>
      </c>
      <c r="M123">
        <v>32</v>
      </c>
    </row>
    <row r="124" spans="1:13" x14ac:dyDescent="0.25">
      <c r="A124" t="s">
        <v>96</v>
      </c>
      <c r="B124" t="s">
        <v>97</v>
      </c>
      <c r="C124" t="s">
        <v>335</v>
      </c>
      <c r="D124" t="s">
        <v>336</v>
      </c>
      <c r="E124" t="s">
        <v>337</v>
      </c>
      <c r="F124" t="s">
        <v>71</v>
      </c>
      <c r="G124" t="s">
        <v>72</v>
      </c>
      <c r="H124">
        <v>0</v>
      </c>
      <c r="I124">
        <v>1</v>
      </c>
      <c r="J124" t="s">
        <v>101</v>
      </c>
      <c r="K124" t="s">
        <v>334</v>
      </c>
      <c r="L124" t="s">
        <v>22</v>
      </c>
      <c r="M124">
        <v>32</v>
      </c>
    </row>
    <row r="125" spans="1:13" x14ac:dyDescent="0.25">
      <c r="A125" t="s">
        <v>152</v>
      </c>
      <c r="B125" t="s">
        <v>153</v>
      </c>
      <c r="C125" t="s">
        <v>327</v>
      </c>
      <c r="D125" t="s">
        <v>328</v>
      </c>
      <c r="E125" t="s">
        <v>329</v>
      </c>
      <c r="F125" t="s">
        <v>18</v>
      </c>
      <c r="G125" t="s">
        <v>19</v>
      </c>
      <c r="H125">
        <v>0</v>
      </c>
      <c r="I125">
        <v>3</v>
      </c>
      <c r="J125" t="s">
        <v>20</v>
      </c>
      <c r="K125" t="s">
        <v>330</v>
      </c>
      <c r="L125" t="s">
        <v>22</v>
      </c>
      <c r="M125">
        <v>44</v>
      </c>
    </row>
    <row r="126" spans="1:13" x14ac:dyDescent="0.25">
      <c r="A126" t="s">
        <v>152</v>
      </c>
      <c r="B126" t="s">
        <v>153</v>
      </c>
      <c r="C126" t="s">
        <v>327</v>
      </c>
      <c r="D126" t="s">
        <v>328</v>
      </c>
      <c r="E126" t="s">
        <v>329</v>
      </c>
      <c r="F126" t="s">
        <v>43</v>
      </c>
      <c r="G126" t="s">
        <v>44</v>
      </c>
      <c r="H126">
        <v>0</v>
      </c>
      <c r="I126">
        <v>1</v>
      </c>
      <c r="J126" t="s">
        <v>20</v>
      </c>
      <c r="K126" t="s">
        <v>330</v>
      </c>
      <c r="L126" t="s">
        <v>22</v>
      </c>
      <c r="M126">
        <v>44</v>
      </c>
    </row>
    <row r="127" spans="1:13" x14ac:dyDescent="0.25">
      <c r="A127" t="s">
        <v>152</v>
      </c>
      <c r="B127" t="s">
        <v>153</v>
      </c>
      <c r="C127" t="s">
        <v>327</v>
      </c>
      <c r="D127" t="s">
        <v>328</v>
      </c>
      <c r="E127" t="s">
        <v>329</v>
      </c>
      <c r="F127" t="s">
        <v>45</v>
      </c>
      <c r="G127" t="s">
        <v>46</v>
      </c>
      <c r="H127">
        <v>0</v>
      </c>
      <c r="I127">
        <v>10</v>
      </c>
      <c r="J127" t="s">
        <v>20</v>
      </c>
      <c r="K127" t="s">
        <v>330</v>
      </c>
      <c r="L127" t="s">
        <v>22</v>
      </c>
      <c r="M127">
        <v>44</v>
      </c>
    </row>
    <row r="128" spans="1:13" x14ac:dyDescent="0.25">
      <c r="A128" t="s">
        <v>152</v>
      </c>
      <c r="B128" t="s">
        <v>153</v>
      </c>
      <c r="C128" t="s">
        <v>327</v>
      </c>
      <c r="D128" t="s">
        <v>328</v>
      </c>
      <c r="E128" t="s">
        <v>329</v>
      </c>
      <c r="F128" t="s">
        <v>23</v>
      </c>
      <c r="G128" t="s">
        <v>24</v>
      </c>
      <c r="H128">
        <v>0</v>
      </c>
      <c r="I128">
        <v>2</v>
      </c>
      <c r="J128" t="s">
        <v>20</v>
      </c>
      <c r="K128" t="s">
        <v>330</v>
      </c>
      <c r="L128" t="s">
        <v>22</v>
      </c>
      <c r="M128">
        <v>44</v>
      </c>
    </row>
    <row r="129" spans="1:13" x14ac:dyDescent="0.25">
      <c r="A129" t="s">
        <v>152</v>
      </c>
      <c r="B129" t="s">
        <v>153</v>
      </c>
      <c r="C129" t="s">
        <v>327</v>
      </c>
      <c r="D129" t="s">
        <v>328</v>
      </c>
      <c r="E129" t="s">
        <v>329</v>
      </c>
      <c r="F129" t="s">
        <v>51</v>
      </c>
      <c r="G129" t="s">
        <v>52</v>
      </c>
      <c r="H129">
        <v>0</v>
      </c>
      <c r="I129">
        <v>6</v>
      </c>
      <c r="J129" t="s">
        <v>20</v>
      </c>
      <c r="K129" t="s">
        <v>330</v>
      </c>
      <c r="L129" t="s">
        <v>22</v>
      </c>
      <c r="M129">
        <v>44</v>
      </c>
    </row>
    <row r="130" spans="1:13" x14ac:dyDescent="0.25">
      <c r="A130" t="s">
        <v>152</v>
      </c>
      <c r="B130" t="s">
        <v>153</v>
      </c>
      <c r="C130" t="s">
        <v>327</v>
      </c>
      <c r="D130" t="s">
        <v>328</v>
      </c>
      <c r="E130" t="s">
        <v>329</v>
      </c>
      <c r="F130" t="s">
        <v>53</v>
      </c>
      <c r="G130" t="s">
        <v>54</v>
      </c>
      <c r="H130">
        <v>0</v>
      </c>
      <c r="I130">
        <v>1</v>
      </c>
      <c r="J130" t="s">
        <v>20</v>
      </c>
      <c r="K130" t="s">
        <v>330</v>
      </c>
      <c r="L130" t="s">
        <v>22</v>
      </c>
      <c r="M130">
        <v>44</v>
      </c>
    </row>
    <row r="131" spans="1:13" x14ac:dyDescent="0.25">
      <c r="A131" t="s">
        <v>152</v>
      </c>
      <c r="B131" t="s">
        <v>153</v>
      </c>
      <c r="C131" t="s">
        <v>327</v>
      </c>
      <c r="D131" t="s">
        <v>328</v>
      </c>
      <c r="E131" t="s">
        <v>329</v>
      </c>
      <c r="F131" t="s">
        <v>57</v>
      </c>
      <c r="G131" t="s">
        <v>58</v>
      </c>
      <c r="H131">
        <v>0</v>
      </c>
      <c r="I131">
        <v>1</v>
      </c>
      <c r="J131" t="s">
        <v>20</v>
      </c>
      <c r="K131" t="s">
        <v>330</v>
      </c>
      <c r="L131" t="s">
        <v>22</v>
      </c>
      <c r="M131">
        <v>44</v>
      </c>
    </row>
    <row r="132" spans="1:13" x14ac:dyDescent="0.25">
      <c r="A132" t="s">
        <v>152</v>
      </c>
      <c r="B132" t="s">
        <v>153</v>
      </c>
      <c r="C132" t="s">
        <v>327</v>
      </c>
      <c r="D132" t="s">
        <v>328</v>
      </c>
      <c r="E132" t="s">
        <v>329</v>
      </c>
      <c r="F132" t="s">
        <v>59</v>
      </c>
      <c r="G132" t="s">
        <v>60</v>
      </c>
      <c r="H132">
        <v>0</v>
      </c>
      <c r="I132">
        <v>5</v>
      </c>
      <c r="J132" t="s">
        <v>20</v>
      </c>
      <c r="K132" t="s">
        <v>330</v>
      </c>
      <c r="L132" t="s">
        <v>22</v>
      </c>
      <c r="M132">
        <v>44</v>
      </c>
    </row>
    <row r="133" spans="1:13" x14ac:dyDescent="0.25">
      <c r="A133" t="s">
        <v>152</v>
      </c>
      <c r="B133" t="s">
        <v>153</v>
      </c>
      <c r="C133" t="s">
        <v>327</v>
      </c>
      <c r="D133" t="s">
        <v>328</v>
      </c>
      <c r="E133" t="s">
        <v>329</v>
      </c>
      <c r="F133" t="s">
        <v>63</v>
      </c>
      <c r="G133" t="s">
        <v>64</v>
      </c>
      <c r="H133">
        <v>0</v>
      </c>
      <c r="I133">
        <v>1</v>
      </c>
      <c r="J133" t="s">
        <v>20</v>
      </c>
      <c r="K133" t="s">
        <v>330</v>
      </c>
      <c r="L133" t="s">
        <v>22</v>
      </c>
      <c r="M133">
        <v>44</v>
      </c>
    </row>
    <row r="134" spans="1:13" x14ac:dyDescent="0.25">
      <c r="A134" t="s">
        <v>152</v>
      </c>
      <c r="B134" t="s">
        <v>153</v>
      </c>
      <c r="C134" t="s">
        <v>327</v>
      </c>
      <c r="D134" t="s">
        <v>328</v>
      </c>
      <c r="E134" t="s">
        <v>329</v>
      </c>
      <c r="F134" t="s">
        <v>25</v>
      </c>
      <c r="G134" t="s">
        <v>26</v>
      </c>
      <c r="H134">
        <v>0</v>
      </c>
      <c r="I134">
        <v>1</v>
      </c>
      <c r="J134" t="s">
        <v>20</v>
      </c>
      <c r="K134" t="s">
        <v>330</v>
      </c>
      <c r="L134" t="s">
        <v>22</v>
      </c>
      <c r="M134">
        <v>44</v>
      </c>
    </row>
    <row r="135" spans="1:13" x14ac:dyDescent="0.25">
      <c r="A135" t="s">
        <v>152</v>
      </c>
      <c r="B135" t="s">
        <v>153</v>
      </c>
      <c r="C135" t="s">
        <v>327</v>
      </c>
      <c r="D135" t="s">
        <v>328</v>
      </c>
      <c r="E135" t="s">
        <v>329</v>
      </c>
      <c r="F135" t="s">
        <v>27</v>
      </c>
      <c r="G135" t="s">
        <v>28</v>
      </c>
      <c r="H135">
        <v>0</v>
      </c>
      <c r="I135">
        <v>2</v>
      </c>
      <c r="J135" t="s">
        <v>20</v>
      </c>
      <c r="K135" t="s">
        <v>330</v>
      </c>
      <c r="L135" t="s">
        <v>22</v>
      </c>
      <c r="M135">
        <v>44</v>
      </c>
    </row>
    <row r="136" spans="1:13" x14ac:dyDescent="0.25">
      <c r="A136" t="s">
        <v>152</v>
      </c>
      <c r="B136" t="s">
        <v>153</v>
      </c>
      <c r="C136" t="s">
        <v>327</v>
      </c>
      <c r="D136" t="s">
        <v>328</v>
      </c>
      <c r="E136" t="s">
        <v>329</v>
      </c>
      <c r="F136" t="s">
        <v>65</v>
      </c>
      <c r="G136" t="s">
        <v>66</v>
      </c>
      <c r="H136">
        <v>0</v>
      </c>
      <c r="I136">
        <v>8</v>
      </c>
      <c r="J136" t="s">
        <v>20</v>
      </c>
      <c r="K136" t="s">
        <v>330</v>
      </c>
      <c r="L136" t="s">
        <v>22</v>
      </c>
      <c r="M136">
        <v>44</v>
      </c>
    </row>
    <row r="137" spans="1:13" x14ac:dyDescent="0.25">
      <c r="A137" t="s">
        <v>152</v>
      </c>
      <c r="B137" t="s">
        <v>153</v>
      </c>
      <c r="C137" t="s">
        <v>327</v>
      </c>
      <c r="D137" t="s">
        <v>328</v>
      </c>
      <c r="E137" t="s">
        <v>329</v>
      </c>
      <c r="F137" t="s">
        <v>29</v>
      </c>
      <c r="G137" t="s">
        <v>30</v>
      </c>
      <c r="H137">
        <v>0</v>
      </c>
      <c r="I137">
        <v>3</v>
      </c>
      <c r="J137" t="s">
        <v>20</v>
      </c>
      <c r="K137" t="s">
        <v>330</v>
      </c>
      <c r="L137" t="s">
        <v>22</v>
      </c>
      <c r="M137">
        <v>44</v>
      </c>
    </row>
    <row r="138" spans="1:13" x14ac:dyDescent="0.25">
      <c r="A138" t="s">
        <v>152</v>
      </c>
      <c r="B138" t="s">
        <v>153</v>
      </c>
      <c r="C138" t="s">
        <v>327</v>
      </c>
      <c r="D138" t="s">
        <v>328</v>
      </c>
      <c r="E138" t="s">
        <v>329</v>
      </c>
      <c r="F138" t="s">
        <v>69</v>
      </c>
      <c r="G138" t="s">
        <v>70</v>
      </c>
      <c r="H138">
        <v>0</v>
      </c>
      <c r="I138">
        <v>1</v>
      </c>
      <c r="J138" t="s">
        <v>20</v>
      </c>
      <c r="K138" t="s">
        <v>330</v>
      </c>
      <c r="L138" t="s">
        <v>22</v>
      </c>
      <c r="M138">
        <v>44</v>
      </c>
    </row>
    <row r="139" spans="1:13" x14ac:dyDescent="0.25">
      <c r="A139" t="s">
        <v>152</v>
      </c>
      <c r="B139" t="s">
        <v>153</v>
      </c>
      <c r="C139" t="s">
        <v>327</v>
      </c>
      <c r="D139" t="s">
        <v>328</v>
      </c>
      <c r="E139" t="s">
        <v>329</v>
      </c>
      <c r="F139" t="s">
        <v>71</v>
      </c>
      <c r="G139" t="s">
        <v>72</v>
      </c>
      <c r="H139">
        <v>0</v>
      </c>
      <c r="I139">
        <v>3</v>
      </c>
      <c r="J139" t="s">
        <v>20</v>
      </c>
      <c r="K139" t="s">
        <v>330</v>
      </c>
      <c r="L139" t="s">
        <v>22</v>
      </c>
      <c r="M139">
        <v>44</v>
      </c>
    </row>
    <row r="140" spans="1:13" x14ac:dyDescent="0.25">
      <c r="A140" t="s">
        <v>152</v>
      </c>
      <c r="B140" t="s">
        <v>153</v>
      </c>
      <c r="C140" t="s">
        <v>327</v>
      </c>
      <c r="D140" t="s">
        <v>328</v>
      </c>
      <c r="E140" t="s">
        <v>329</v>
      </c>
      <c r="F140" t="s">
        <v>31</v>
      </c>
      <c r="G140" t="s">
        <v>32</v>
      </c>
      <c r="H140">
        <v>0</v>
      </c>
      <c r="I140">
        <v>1</v>
      </c>
      <c r="J140" t="s">
        <v>20</v>
      </c>
      <c r="K140" t="s">
        <v>330</v>
      </c>
      <c r="L140" t="s">
        <v>22</v>
      </c>
      <c r="M140">
        <v>44</v>
      </c>
    </row>
    <row r="141" spans="1:13" x14ac:dyDescent="0.25">
      <c r="A141" t="s">
        <v>120</v>
      </c>
      <c r="B141" t="s">
        <v>121</v>
      </c>
      <c r="C141" t="s">
        <v>323</v>
      </c>
      <c r="D141" t="s">
        <v>324</v>
      </c>
      <c r="E141" t="s">
        <v>325</v>
      </c>
      <c r="F141" t="s">
        <v>45</v>
      </c>
      <c r="G141" t="s">
        <v>46</v>
      </c>
      <c r="H141">
        <v>0</v>
      </c>
      <c r="I141">
        <v>1</v>
      </c>
      <c r="J141" t="s">
        <v>94</v>
      </c>
      <c r="K141" t="s">
        <v>326</v>
      </c>
      <c r="L141" t="s">
        <v>22</v>
      </c>
      <c r="M141">
        <v>45</v>
      </c>
    </row>
    <row r="142" spans="1:13" x14ac:dyDescent="0.25">
      <c r="A142" t="s">
        <v>120</v>
      </c>
      <c r="B142" t="s">
        <v>121</v>
      </c>
      <c r="C142" t="s">
        <v>323</v>
      </c>
      <c r="D142" t="s">
        <v>324</v>
      </c>
      <c r="E142" t="s">
        <v>325</v>
      </c>
      <c r="F142" t="s">
        <v>51</v>
      </c>
      <c r="G142" t="s">
        <v>52</v>
      </c>
      <c r="H142">
        <v>0</v>
      </c>
      <c r="I142">
        <v>18</v>
      </c>
      <c r="J142" t="s">
        <v>94</v>
      </c>
      <c r="K142" t="s">
        <v>326</v>
      </c>
      <c r="L142" t="s">
        <v>22</v>
      </c>
      <c r="M142">
        <v>45</v>
      </c>
    </row>
    <row r="143" spans="1:13" x14ac:dyDescent="0.25">
      <c r="A143" t="s">
        <v>120</v>
      </c>
      <c r="B143" t="s">
        <v>121</v>
      </c>
      <c r="C143" t="s">
        <v>323</v>
      </c>
      <c r="D143" t="s">
        <v>324</v>
      </c>
      <c r="E143" t="s">
        <v>325</v>
      </c>
      <c r="F143" t="s">
        <v>61</v>
      </c>
      <c r="G143" t="s">
        <v>62</v>
      </c>
      <c r="H143">
        <v>0</v>
      </c>
      <c r="I143">
        <v>1</v>
      </c>
      <c r="J143" t="s">
        <v>94</v>
      </c>
      <c r="K143" t="s">
        <v>326</v>
      </c>
      <c r="L143" t="s">
        <v>22</v>
      </c>
      <c r="M143">
        <v>45</v>
      </c>
    </row>
    <row r="144" spans="1:13" x14ac:dyDescent="0.25">
      <c r="A144" t="s">
        <v>120</v>
      </c>
      <c r="B144" t="s">
        <v>121</v>
      </c>
      <c r="C144" t="s">
        <v>323</v>
      </c>
      <c r="D144" t="s">
        <v>324</v>
      </c>
      <c r="E144" t="s">
        <v>325</v>
      </c>
      <c r="F144" t="s">
        <v>27</v>
      </c>
      <c r="G144" t="s">
        <v>28</v>
      </c>
      <c r="H144">
        <v>0</v>
      </c>
      <c r="I144">
        <v>1</v>
      </c>
      <c r="J144" t="s">
        <v>94</v>
      </c>
      <c r="K144" t="s">
        <v>326</v>
      </c>
      <c r="L144" t="s">
        <v>22</v>
      </c>
      <c r="M144">
        <v>45</v>
      </c>
    </row>
    <row r="145" spans="1:13" x14ac:dyDescent="0.25">
      <c r="A145" t="s">
        <v>120</v>
      </c>
      <c r="B145" t="s">
        <v>121</v>
      </c>
      <c r="C145" t="s">
        <v>323</v>
      </c>
      <c r="D145" t="s">
        <v>324</v>
      </c>
      <c r="E145" t="s">
        <v>325</v>
      </c>
      <c r="F145" t="s">
        <v>65</v>
      </c>
      <c r="G145" t="s">
        <v>66</v>
      </c>
      <c r="H145">
        <v>0</v>
      </c>
      <c r="I145">
        <v>8</v>
      </c>
      <c r="J145" t="s">
        <v>94</v>
      </c>
      <c r="K145" t="s">
        <v>326</v>
      </c>
      <c r="L145" t="s">
        <v>22</v>
      </c>
      <c r="M145">
        <v>45</v>
      </c>
    </row>
    <row r="146" spans="1:13" x14ac:dyDescent="0.25">
      <c r="A146" t="s">
        <v>120</v>
      </c>
      <c r="B146" t="s">
        <v>121</v>
      </c>
      <c r="C146" t="s">
        <v>323</v>
      </c>
      <c r="D146" t="s">
        <v>324</v>
      </c>
      <c r="E146" t="s">
        <v>325</v>
      </c>
      <c r="F146" t="s">
        <v>29</v>
      </c>
      <c r="G146" t="s">
        <v>30</v>
      </c>
      <c r="H146">
        <v>0</v>
      </c>
      <c r="I146">
        <v>1</v>
      </c>
      <c r="J146" t="s">
        <v>94</v>
      </c>
      <c r="K146" t="s">
        <v>326</v>
      </c>
      <c r="L146" t="s">
        <v>22</v>
      </c>
      <c r="M146">
        <v>45</v>
      </c>
    </row>
    <row r="147" spans="1:13" x14ac:dyDescent="0.25">
      <c r="A147" t="s">
        <v>120</v>
      </c>
      <c r="B147" t="s">
        <v>121</v>
      </c>
      <c r="C147" t="s">
        <v>323</v>
      </c>
      <c r="D147" t="s">
        <v>324</v>
      </c>
      <c r="E147" t="s">
        <v>325</v>
      </c>
      <c r="F147" t="s">
        <v>71</v>
      </c>
      <c r="G147" t="s">
        <v>72</v>
      </c>
      <c r="H147">
        <v>0</v>
      </c>
      <c r="I147">
        <v>1</v>
      </c>
      <c r="J147" t="s">
        <v>94</v>
      </c>
      <c r="K147" t="s">
        <v>326</v>
      </c>
      <c r="L147" t="s">
        <v>22</v>
      </c>
      <c r="M147">
        <v>45</v>
      </c>
    </row>
    <row r="148" spans="1:13" x14ac:dyDescent="0.25">
      <c r="A148" t="s">
        <v>103</v>
      </c>
      <c r="B148" t="s">
        <v>104</v>
      </c>
      <c r="C148" t="s">
        <v>319</v>
      </c>
      <c r="D148" t="s">
        <v>320</v>
      </c>
      <c r="E148" t="s">
        <v>321</v>
      </c>
      <c r="F148" t="s">
        <v>39</v>
      </c>
      <c r="G148" t="s">
        <v>40</v>
      </c>
      <c r="H148">
        <v>0</v>
      </c>
      <c r="I148">
        <v>1</v>
      </c>
      <c r="J148" t="s">
        <v>101</v>
      </c>
      <c r="K148" t="s">
        <v>322</v>
      </c>
      <c r="L148" t="s">
        <v>22</v>
      </c>
      <c r="M148">
        <v>25</v>
      </c>
    </row>
    <row r="149" spans="1:13" x14ac:dyDescent="0.25">
      <c r="A149" t="s">
        <v>103</v>
      </c>
      <c r="B149" t="s">
        <v>104</v>
      </c>
      <c r="C149" t="s">
        <v>319</v>
      </c>
      <c r="D149" t="s">
        <v>320</v>
      </c>
      <c r="E149" t="s">
        <v>321</v>
      </c>
      <c r="F149" t="s">
        <v>45</v>
      </c>
      <c r="G149" t="s">
        <v>46</v>
      </c>
      <c r="H149">
        <v>0</v>
      </c>
      <c r="I149">
        <v>2</v>
      </c>
      <c r="J149" t="s">
        <v>101</v>
      </c>
      <c r="K149" t="s">
        <v>322</v>
      </c>
      <c r="L149" t="s">
        <v>22</v>
      </c>
      <c r="M149">
        <v>25</v>
      </c>
    </row>
    <row r="150" spans="1:13" x14ac:dyDescent="0.25">
      <c r="A150" t="s">
        <v>103</v>
      </c>
      <c r="B150" t="s">
        <v>104</v>
      </c>
      <c r="C150" t="s">
        <v>319</v>
      </c>
      <c r="D150" t="s">
        <v>320</v>
      </c>
      <c r="E150" t="s">
        <v>321</v>
      </c>
      <c r="F150" t="s">
        <v>65</v>
      </c>
      <c r="G150" t="s">
        <v>66</v>
      </c>
      <c r="H150">
        <v>0</v>
      </c>
      <c r="I150">
        <v>2</v>
      </c>
      <c r="J150" t="s">
        <v>101</v>
      </c>
      <c r="K150" t="s">
        <v>322</v>
      </c>
      <c r="L150" t="s">
        <v>22</v>
      </c>
      <c r="M150">
        <v>25</v>
      </c>
    </row>
    <row r="151" spans="1:13" x14ac:dyDescent="0.25">
      <c r="A151" t="s">
        <v>83</v>
      </c>
      <c r="B151" t="s">
        <v>84</v>
      </c>
      <c r="C151" t="s">
        <v>315</v>
      </c>
      <c r="D151" t="s">
        <v>316</v>
      </c>
      <c r="E151" t="s">
        <v>317</v>
      </c>
      <c r="F151" t="s">
        <v>43</v>
      </c>
      <c r="G151" t="s">
        <v>44</v>
      </c>
      <c r="H151">
        <v>5</v>
      </c>
      <c r="I151">
        <v>0</v>
      </c>
      <c r="J151" t="s">
        <v>20</v>
      </c>
      <c r="K151" t="s">
        <v>318</v>
      </c>
      <c r="L151" t="s">
        <v>22</v>
      </c>
      <c r="M151">
        <v>30</v>
      </c>
    </row>
    <row r="152" spans="1:13" x14ac:dyDescent="0.25">
      <c r="A152" t="s">
        <v>83</v>
      </c>
      <c r="B152" t="s">
        <v>84</v>
      </c>
      <c r="C152" t="s">
        <v>315</v>
      </c>
      <c r="D152" t="s">
        <v>316</v>
      </c>
      <c r="E152" t="s">
        <v>317</v>
      </c>
      <c r="F152" t="s">
        <v>45</v>
      </c>
      <c r="G152" t="s">
        <v>46</v>
      </c>
      <c r="H152">
        <v>0</v>
      </c>
      <c r="I152">
        <v>1</v>
      </c>
      <c r="J152" t="s">
        <v>20</v>
      </c>
      <c r="K152" t="s">
        <v>318</v>
      </c>
      <c r="L152" t="s">
        <v>22</v>
      </c>
      <c r="M152">
        <v>30</v>
      </c>
    </row>
    <row r="153" spans="1:13" x14ac:dyDescent="0.25">
      <c r="A153" t="s">
        <v>83</v>
      </c>
      <c r="B153" t="s">
        <v>84</v>
      </c>
      <c r="C153" t="s">
        <v>315</v>
      </c>
      <c r="D153" t="s">
        <v>316</v>
      </c>
      <c r="E153" t="s">
        <v>317</v>
      </c>
      <c r="F153" t="s">
        <v>23</v>
      </c>
      <c r="G153" t="s">
        <v>24</v>
      </c>
      <c r="H153">
        <v>5</v>
      </c>
      <c r="I153">
        <v>0</v>
      </c>
      <c r="J153" t="s">
        <v>20</v>
      </c>
      <c r="K153" t="s">
        <v>318</v>
      </c>
      <c r="L153" t="s">
        <v>22</v>
      </c>
      <c r="M153">
        <v>30</v>
      </c>
    </row>
    <row r="154" spans="1:13" x14ac:dyDescent="0.25">
      <c r="A154" t="s">
        <v>83</v>
      </c>
      <c r="B154" t="s">
        <v>84</v>
      </c>
      <c r="C154" t="s">
        <v>315</v>
      </c>
      <c r="D154" t="s">
        <v>316</v>
      </c>
      <c r="E154" t="s">
        <v>317</v>
      </c>
      <c r="F154" t="s">
        <v>51</v>
      </c>
      <c r="G154" t="s">
        <v>52</v>
      </c>
      <c r="H154">
        <v>0</v>
      </c>
      <c r="I154">
        <v>4</v>
      </c>
      <c r="J154" t="s">
        <v>20</v>
      </c>
      <c r="K154" t="s">
        <v>318</v>
      </c>
      <c r="L154" t="s">
        <v>22</v>
      </c>
      <c r="M154">
        <v>30</v>
      </c>
    </row>
    <row r="155" spans="1:13" x14ac:dyDescent="0.25">
      <c r="A155" t="s">
        <v>83</v>
      </c>
      <c r="B155" t="s">
        <v>84</v>
      </c>
      <c r="C155" t="s">
        <v>315</v>
      </c>
      <c r="D155" t="s">
        <v>316</v>
      </c>
      <c r="E155" t="s">
        <v>317</v>
      </c>
      <c r="F155" t="s">
        <v>55</v>
      </c>
      <c r="G155" t="s">
        <v>56</v>
      </c>
      <c r="H155">
        <v>0</v>
      </c>
      <c r="I155">
        <v>1</v>
      </c>
      <c r="J155" t="s">
        <v>20</v>
      </c>
      <c r="K155" t="s">
        <v>318</v>
      </c>
      <c r="L155" t="s">
        <v>22</v>
      </c>
      <c r="M155">
        <v>30</v>
      </c>
    </row>
    <row r="156" spans="1:13" x14ac:dyDescent="0.25">
      <c r="A156" t="s">
        <v>83</v>
      </c>
      <c r="B156" t="s">
        <v>84</v>
      </c>
      <c r="C156" t="s">
        <v>315</v>
      </c>
      <c r="D156" t="s">
        <v>316</v>
      </c>
      <c r="E156" t="s">
        <v>317</v>
      </c>
      <c r="F156" t="s">
        <v>57</v>
      </c>
      <c r="G156" t="s">
        <v>58</v>
      </c>
      <c r="H156">
        <v>4</v>
      </c>
      <c r="I156">
        <v>0</v>
      </c>
      <c r="J156" t="s">
        <v>20</v>
      </c>
      <c r="K156" t="s">
        <v>318</v>
      </c>
      <c r="L156" t="s">
        <v>22</v>
      </c>
      <c r="M156">
        <v>30</v>
      </c>
    </row>
    <row r="157" spans="1:13" x14ac:dyDescent="0.25">
      <c r="A157" t="s">
        <v>83</v>
      </c>
      <c r="B157" t="s">
        <v>84</v>
      </c>
      <c r="C157" t="s">
        <v>315</v>
      </c>
      <c r="D157" t="s">
        <v>316</v>
      </c>
      <c r="E157" t="s">
        <v>317</v>
      </c>
      <c r="F157" t="s">
        <v>59</v>
      </c>
      <c r="G157" t="s">
        <v>60</v>
      </c>
      <c r="H157">
        <v>0</v>
      </c>
      <c r="I157">
        <v>1</v>
      </c>
      <c r="J157" t="s">
        <v>20</v>
      </c>
      <c r="K157" t="s">
        <v>318</v>
      </c>
      <c r="L157" t="s">
        <v>22</v>
      </c>
      <c r="M157">
        <v>30</v>
      </c>
    </row>
    <row r="158" spans="1:13" x14ac:dyDescent="0.25">
      <c r="A158" t="s">
        <v>83</v>
      </c>
      <c r="B158" t="s">
        <v>84</v>
      </c>
      <c r="C158" t="s">
        <v>315</v>
      </c>
      <c r="D158" t="s">
        <v>316</v>
      </c>
      <c r="E158" t="s">
        <v>317</v>
      </c>
      <c r="F158" t="s">
        <v>61</v>
      </c>
      <c r="G158" t="s">
        <v>62</v>
      </c>
      <c r="H158">
        <v>5</v>
      </c>
      <c r="I158">
        <v>0</v>
      </c>
      <c r="J158" t="s">
        <v>20</v>
      </c>
      <c r="K158" t="s">
        <v>318</v>
      </c>
      <c r="L158" t="s">
        <v>22</v>
      </c>
      <c r="M158">
        <v>30</v>
      </c>
    </row>
    <row r="159" spans="1:13" x14ac:dyDescent="0.25">
      <c r="A159" t="s">
        <v>83</v>
      </c>
      <c r="B159" t="s">
        <v>84</v>
      </c>
      <c r="C159" t="s">
        <v>315</v>
      </c>
      <c r="D159" t="s">
        <v>316</v>
      </c>
      <c r="E159" t="s">
        <v>317</v>
      </c>
      <c r="F159" t="s">
        <v>63</v>
      </c>
      <c r="G159" t="s">
        <v>64</v>
      </c>
      <c r="H159">
        <v>0</v>
      </c>
      <c r="I159">
        <v>1</v>
      </c>
      <c r="J159" t="s">
        <v>20</v>
      </c>
      <c r="K159" t="s">
        <v>318</v>
      </c>
      <c r="L159" t="s">
        <v>22</v>
      </c>
      <c r="M159">
        <v>30</v>
      </c>
    </row>
    <row r="160" spans="1:13" x14ac:dyDescent="0.25">
      <c r="A160" t="s">
        <v>83</v>
      </c>
      <c r="B160" t="s">
        <v>84</v>
      </c>
      <c r="C160" t="s">
        <v>315</v>
      </c>
      <c r="D160" t="s">
        <v>316</v>
      </c>
      <c r="E160" t="s">
        <v>317</v>
      </c>
      <c r="F160" t="s">
        <v>25</v>
      </c>
      <c r="G160" t="s">
        <v>26</v>
      </c>
      <c r="H160">
        <v>5</v>
      </c>
      <c r="I160">
        <v>0</v>
      </c>
      <c r="J160" t="s">
        <v>20</v>
      </c>
      <c r="K160" t="s">
        <v>318</v>
      </c>
      <c r="L160" t="s">
        <v>22</v>
      </c>
      <c r="M160">
        <v>30</v>
      </c>
    </row>
    <row r="161" spans="1:13" x14ac:dyDescent="0.25">
      <c r="A161" t="s">
        <v>83</v>
      </c>
      <c r="B161" t="s">
        <v>84</v>
      </c>
      <c r="C161" t="s">
        <v>315</v>
      </c>
      <c r="D161" t="s">
        <v>316</v>
      </c>
      <c r="E161" t="s">
        <v>317</v>
      </c>
      <c r="F161" t="s">
        <v>65</v>
      </c>
      <c r="G161" t="s">
        <v>66</v>
      </c>
      <c r="H161">
        <v>0</v>
      </c>
      <c r="I161">
        <v>2</v>
      </c>
      <c r="J161" t="s">
        <v>20</v>
      </c>
      <c r="K161" t="s">
        <v>318</v>
      </c>
      <c r="L161" t="s">
        <v>22</v>
      </c>
      <c r="M161">
        <v>30</v>
      </c>
    </row>
    <row r="162" spans="1:13" x14ac:dyDescent="0.25">
      <c r="A162" t="s">
        <v>83</v>
      </c>
      <c r="B162" t="s">
        <v>84</v>
      </c>
      <c r="C162" t="s">
        <v>315</v>
      </c>
      <c r="D162" t="s">
        <v>316</v>
      </c>
      <c r="E162" t="s">
        <v>317</v>
      </c>
      <c r="F162" t="s">
        <v>67</v>
      </c>
      <c r="G162" t="s">
        <v>68</v>
      </c>
      <c r="H162">
        <v>0</v>
      </c>
      <c r="I162">
        <v>1</v>
      </c>
      <c r="J162" t="s">
        <v>20</v>
      </c>
      <c r="K162" t="s">
        <v>318</v>
      </c>
      <c r="L162" t="s">
        <v>22</v>
      </c>
      <c r="M162">
        <v>30</v>
      </c>
    </row>
    <row r="163" spans="1:13" x14ac:dyDescent="0.25">
      <c r="A163" t="s">
        <v>83</v>
      </c>
      <c r="B163" t="s">
        <v>84</v>
      </c>
      <c r="C163" t="s">
        <v>315</v>
      </c>
      <c r="D163" t="s">
        <v>316</v>
      </c>
      <c r="E163" t="s">
        <v>317</v>
      </c>
      <c r="F163" t="s">
        <v>71</v>
      </c>
      <c r="G163" t="s">
        <v>72</v>
      </c>
      <c r="H163">
        <v>5</v>
      </c>
      <c r="I163">
        <v>0</v>
      </c>
      <c r="J163" t="s">
        <v>20</v>
      </c>
      <c r="K163" t="s">
        <v>318</v>
      </c>
      <c r="L163" t="s">
        <v>22</v>
      </c>
      <c r="M163">
        <v>30</v>
      </c>
    </row>
    <row r="164" spans="1:13" x14ac:dyDescent="0.25">
      <c r="A164" t="s">
        <v>33</v>
      </c>
      <c r="B164" t="s">
        <v>34</v>
      </c>
      <c r="C164" t="s">
        <v>311</v>
      </c>
      <c r="D164" t="s">
        <v>312</v>
      </c>
      <c r="E164" t="s">
        <v>313</v>
      </c>
      <c r="F164" t="s">
        <v>18</v>
      </c>
      <c r="G164" t="s">
        <v>19</v>
      </c>
      <c r="H164">
        <v>0</v>
      </c>
      <c r="I164">
        <v>6</v>
      </c>
      <c r="J164" t="s">
        <v>101</v>
      </c>
      <c r="K164" t="s">
        <v>314</v>
      </c>
      <c r="L164" t="s">
        <v>22</v>
      </c>
      <c r="M164">
        <v>4</v>
      </c>
    </row>
    <row r="165" spans="1:13" x14ac:dyDescent="0.25">
      <c r="A165" t="s">
        <v>33</v>
      </c>
      <c r="B165" t="s">
        <v>34</v>
      </c>
      <c r="C165" t="s">
        <v>311</v>
      </c>
      <c r="D165" t="s">
        <v>312</v>
      </c>
      <c r="E165" t="s">
        <v>313</v>
      </c>
      <c r="F165" t="s">
        <v>79</v>
      </c>
      <c r="G165" t="s">
        <v>80</v>
      </c>
      <c r="H165">
        <v>0</v>
      </c>
      <c r="I165">
        <v>1</v>
      </c>
      <c r="J165" t="s">
        <v>101</v>
      </c>
      <c r="K165" t="s">
        <v>314</v>
      </c>
      <c r="L165" t="s">
        <v>22</v>
      </c>
      <c r="M165">
        <v>4</v>
      </c>
    </row>
    <row r="166" spans="1:13" x14ac:dyDescent="0.25">
      <c r="A166" t="s">
        <v>33</v>
      </c>
      <c r="B166" t="s">
        <v>34</v>
      </c>
      <c r="C166" t="s">
        <v>311</v>
      </c>
      <c r="D166" t="s">
        <v>312</v>
      </c>
      <c r="E166" t="s">
        <v>313</v>
      </c>
      <c r="F166" t="s">
        <v>39</v>
      </c>
      <c r="G166" t="s">
        <v>40</v>
      </c>
      <c r="H166">
        <v>0</v>
      </c>
      <c r="I166">
        <v>1</v>
      </c>
      <c r="J166" t="s">
        <v>101</v>
      </c>
      <c r="K166" t="s">
        <v>314</v>
      </c>
      <c r="L166" t="s">
        <v>22</v>
      </c>
      <c r="M166">
        <v>4</v>
      </c>
    </row>
    <row r="167" spans="1:13" x14ac:dyDescent="0.25">
      <c r="A167" t="s">
        <v>33</v>
      </c>
      <c r="B167" t="s">
        <v>34</v>
      </c>
      <c r="C167" t="s">
        <v>311</v>
      </c>
      <c r="D167" t="s">
        <v>312</v>
      </c>
      <c r="E167" t="s">
        <v>313</v>
      </c>
      <c r="F167" t="s">
        <v>45</v>
      </c>
      <c r="G167" t="s">
        <v>46</v>
      </c>
      <c r="H167">
        <v>0</v>
      </c>
      <c r="I167">
        <v>11</v>
      </c>
      <c r="J167" t="s">
        <v>101</v>
      </c>
      <c r="K167" t="s">
        <v>314</v>
      </c>
      <c r="L167" t="s">
        <v>22</v>
      </c>
      <c r="M167">
        <v>4</v>
      </c>
    </row>
    <row r="168" spans="1:13" x14ac:dyDescent="0.25">
      <c r="A168" t="s">
        <v>33</v>
      </c>
      <c r="B168" t="s">
        <v>34</v>
      </c>
      <c r="C168" t="s">
        <v>311</v>
      </c>
      <c r="D168" t="s">
        <v>312</v>
      </c>
      <c r="E168" t="s">
        <v>313</v>
      </c>
      <c r="F168" t="s">
        <v>47</v>
      </c>
      <c r="G168" t="s">
        <v>48</v>
      </c>
      <c r="H168">
        <v>0</v>
      </c>
      <c r="I168">
        <v>1</v>
      </c>
      <c r="J168" t="s">
        <v>101</v>
      </c>
      <c r="K168" t="s">
        <v>314</v>
      </c>
      <c r="L168" t="s">
        <v>22</v>
      </c>
      <c r="M168">
        <v>4</v>
      </c>
    </row>
    <row r="169" spans="1:13" x14ac:dyDescent="0.25">
      <c r="A169" t="s">
        <v>33</v>
      </c>
      <c r="B169" t="s">
        <v>34</v>
      </c>
      <c r="C169" t="s">
        <v>311</v>
      </c>
      <c r="D169" t="s">
        <v>312</v>
      </c>
      <c r="E169" t="s">
        <v>313</v>
      </c>
      <c r="F169" t="s">
        <v>49</v>
      </c>
      <c r="G169" t="s">
        <v>50</v>
      </c>
      <c r="H169">
        <v>0</v>
      </c>
      <c r="I169">
        <v>1</v>
      </c>
      <c r="J169" t="s">
        <v>101</v>
      </c>
      <c r="K169" t="s">
        <v>314</v>
      </c>
      <c r="L169" t="s">
        <v>22</v>
      </c>
      <c r="M169">
        <v>4</v>
      </c>
    </row>
    <row r="170" spans="1:13" x14ac:dyDescent="0.25">
      <c r="A170" t="s">
        <v>33</v>
      </c>
      <c r="B170" t="s">
        <v>34</v>
      </c>
      <c r="C170" t="s">
        <v>311</v>
      </c>
      <c r="D170" t="s">
        <v>312</v>
      </c>
      <c r="E170" t="s">
        <v>313</v>
      </c>
      <c r="F170" t="s">
        <v>51</v>
      </c>
      <c r="G170" t="s">
        <v>52</v>
      </c>
      <c r="H170">
        <v>0</v>
      </c>
      <c r="I170">
        <v>25</v>
      </c>
      <c r="J170" t="s">
        <v>101</v>
      </c>
      <c r="K170" t="s">
        <v>314</v>
      </c>
      <c r="L170" t="s">
        <v>22</v>
      </c>
      <c r="M170">
        <v>4</v>
      </c>
    </row>
    <row r="171" spans="1:13" x14ac:dyDescent="0.25">
      <c r="A171" t="s">
        <v>33</v>
      </c>
      <c r="B171" t="s">
        <v>34</v>
      </c>
      <c r="C171" t="s">
        <v>311</v>
      </c>
      <c r="D171" t="s">
        <v>312</v>
      </c>
      <c r="E171" t="s">
        <v>313</v>
      </c>
      <c r="F171" t="s">
        <v>53</v>
      </c>
      <c r="G171" t="s">
        <v>54</v>
      </c>
      <c r="H171">
        <v>0</v>
      </c>
      <c r="I171">
        <v>1</v>
      </c>
      <c r="J171" t="s">
        <v>101</v>
      </c>
      <c r="K171" t="s">
        <v>314</v>
      </c>
      <c r="L171" t="s">
        <v>22</v>
      </c>
      <c r="M171">
        <v>4</v>
      </c>
    </row>
    <row r="172" spans="1:13" x14ac:dyDescent="0.25">
      <c r="A172" t="s">
        <v>33</v>
      </c>
      <c r="B172" t="s">
        <v>34</v>
      </c>
      <c r="C172" t="s">
        <v>311</v>
      </c>
      <c r="D172" t="s">
        <v>312</v>
      </c>
      <c r="E172" t="s">
        <v>313</v>
      </c>
      <c r="F172" t="s">
        <v>59</v>
      </c>
      <c r="G172" t="s">
        <v>60</v>
      </c>
      <c r="H172">
        <v>0</v>
      </c>
      <c r="I172">
        <v>7</v>
      </c>
      <c r="J172" t="s">
        <v>101</v>
      </c>
      <c r="K172" t="s">
        <v>314</v>
      </c>
      <c r="L172" t="s">
        <v>22</v>
      </c>
      <c r="M172">
        <v>4</v>
      </c>
    </row>
    <row r="173" spans="1:13" x14ac:dyDescent="0.25">
      <c r="A173" t="s">
        <v>33</v>
      </c>
      <c r="B173" t="s">
        <v>34</v>
      </c>
      <c r="C173" t="s">
        <v>311</v>
      </c>
      <c r="D173" t="s">
        <v>312</v>
      </c>
      <c r="E173" t="s">
        <v>313</v>
      </c>
      <c r="F173" t="s">
        <v>61</v>
      </c>
      <c r="G173" t="s">
        <v>62</v>
      </c>
      <c r="H173">
        <v>0</v>
      </c>
      <c r="I173">
        <v>1</v>
      </c>
      <c r="J173" t="s">
        <v>101</v>
      </c>
      <c r="K173" t="s">
        <v>314</v>
      </c>
      <c r="L173" t="s">
        <v>22</v>
      </c>
      <c r="M173">
        <v>4</v>
      </c>
    </row>
    <row r="174" spans="1:13" x14ac:dyDescent="0.25">
      <c r="A174" t="s">
        <v>33</v>
      </c>
      <c r="B174" t="s">
        <v>34</v>
      </c>
      <c r="C174" t="s">
        <v>311</v>
      </c>
      <c r="D174" t="s">
        <v>312</v>
      </c>
      <c r="E174" t="s">
        <v>313</v>
      </c>
      <c r="F174" t="s">
        <v>63</v>
      </c>
      <c r="G174" t="s">
        <v>64</v>
      </c>
      <c r="H174">
        <v>0</v>
      </c>
      <c r="I174">
        <v>3</v>
      </c>
      <c r="J174" t="s">
        <v>101</v>
      </c>
      <c r="K174" t="s">
        <v>314</v>
      </c>
      <c r="L174" t="s">
        <v>22</v>
      </c>
      <c r="M174">
        <v>4</v>
      </c>
    </row>
    <row r="175" spans="1:13" x14ac:dyDescent="0.25">
      <c r="A175" t="s">
        <v>33</v>
      </c>
      <c r="B175" t="s">
        <v>34</v>
      </c>
      <c r="C175" t="s">
        <v>311</v>
      </c>
      <c r="D175" t="s">
        <v>312</v>
      </c>
      <c r="E175" t="s">
        <v>313</v>
      </c>
      <c r="F175" t="s">
        <v>25</v>
      </c>
      <c r="G175" t="s">
        <v>26</v>
      </c>
      <c r="H175">
        <v>0</v>
      </c>
      <c r="I175">
        <v>4</v>
      </c>
      <c r="J175" t="s">
        <v>101</v>
      </c>
      <c r="K175" t="s">
        <v>314</v>
      </c>
      <c r="L175" t="s">
        <v>22</v>
      </c>
      <c r="M175">
        <v>4</v>
      </c>
    </row>
    <row r="176" spans="1:13" x14ac:dyDescent="0.25">
      <c r="A176" t="s">
        <v>33</v>
      </c>
      <c r="B176" t="s">
        <v>34</v>
      </c>
      <c r="C176" t="s">
        <v>311</v>
      </c>
      <c r="D176" t="s">
        <v>312</v>
      </c>
      <c r="E176" t="s">
        <v>313</v>
      </c>
      <c r="F176" t="s">
        <v>27</v>
      </c>
      <c r="G176" t="s">
        <v>28</v>
      </c>
      <c r="H176">
        <v>0</v>
      </c>
      <c r="I176">
        <v>1</v>
      </c>
      <c r="J176" t="s">
        <v>101</v>
      </c>
      <c r="K176" t="s">
        <v>314</v>
      </c>
      <c r="L176" t="s">
        <v>22</v>
      </c>
      <c r="M176">
        <v>4</v>
      </c>
    </row>
    <row r="177" spans="1:13" x14ac:dyDescent="0.25">
      <c r="A177" t="s">
        <v>33</v>
      </c>
      <c r="B177" t="s">
        <v>34</v>
      </c>
      <c r="C177" t="s">
        <v>311</v>
      </c>
      <c r="D177" t="s">
        <v>312</v>
      </c>
      <c r="E177" t="s">
        <v>313</v>
      </c>
      <c r="F177" t="s">
        <v>65</v>
      </c>
      <c r="G177" t="s">
        <v>66</v>
      </c>
      <c r="H177">
        <v>0</v>
      </c>
      <c r="I177">
        <v>10</v>
      </c>
      <c r="J177" t="s">
        <v>101</v>
      </c>
      <c r="K177" t="s">
        <v>314</v>
      </c>
      <c r="L177" t="s">
        <v>22</v>
      </c>
      <c r="M177">
        <v>4</v>
      </c>
    </row>
    <row r="178" spans="1:13" x14ac:dyDescent="0.25">
      <c r="A178" t="s">
        <v>33</v>
      </c>
      <c r="B178" t="s">
        <v>34</v>
      </c>
      <c r="C178" t="s">
        <v>311</v>
      </c>
      <c r="D178" t="s">
        <v>312</v>
      </c>
      <c r="E178" t="s">
        <v>313</v>
      </c>
      <c r="F178" t="s">
        <v>67</v>
      </c>
      <c r="G178" t="s">
        <v>68</v>
      </c>
      <c r="H178">
        <v>0</v>
      </c>
      <c r="I178">
        <v>3</v>
      </c>
      <c r="J178" t="s">
        <v>101</v>
      </c>
      <c r="K178" t="s">
        <v>314</v>
      </c>
      <c r="L178" t="s">
        <v>22</v>
      </c>
      <c r="M178">
        <v>4</v>
      </c>
    </row>
    <row r="179" spans="1:13" x14ac:dyDescent="0.25">
      <c r="A179" t="s">
        <v>33</v>
      </c>
      <c r="B179" t="s">
        <v>34</v>
      </c>
      <c r="C179" t="s">
        <v>311</v>
      </c>
      <c r="D179" t="s">
        <v>312</v>
      </c>
      <c r="E179" t="s">
        <v>313</v>
      </c>
      <c r="F179" t="s">
        <v>29</v>
      </c>
      <c r="G179" t="s">
        <v>30</v>
      </c>
      <c r="H179">
        <v>0</v>
      </c>
      <c r="I179">
        <v>2</v>
      </c>
      <c r="J179" t="s">
        <v>101</v>
      </c>
      <c r="K179" t="s">
        <v>314</v>
      </c>
      <c r="L179" t="s">
        <v>22</v>
      </c>
      <c r="M179">
        <v>4</v>
      </c>
    </row>
    <row r="180" spans="1:13" x14ac:dyDescent="0.25">
      <c r="A180" t="s">
        <v>33</v>
      </c>
      <c r="B180" t="s">
        <v>34</v>
      </c>
      <c r="C180" t="s">
        <v>311</v>
      </c>
      <c r="D180" t="s">
        <v>312</v>
      </c>
      <c r="E180" t="s">
        <v>313</v>
      </c>
      <c r="F180" t="s">
        <v>71</v>
      </c>
      <c r="G180" t="s">
        <v>72</v>
      </c>
      <c r="H180">
        <v>0</v>
      </c>
      <c r="I180">
        <v>2</v>
      </c>
      <c r="J180" t="s">
        <v>101</v>
      </c>
      <c r="K180" t="s">
        <v>314</v>
      </c>
      <c r="L180" t="s">
        <v>22</v>
      </c>
      <c r="M180">
        <v>4</v>
      </c>
    </row>
    <row r="181" spans="1:13" x14ac:dyDescent="0.25">
      <c r="A181" t="s">
        <v>33</v>
      </c>
      <c r="B181" t="s">
        <v>34</v>
      </c>
      <c r="C181" t="s">
        <v>311</v>
      </c>
      <c r="D181" t="s">
        <v>312</v>
      </c>
      <c r="E181" t="s">
        <v>313</v>
      </c>
      <c r="F181" t="s">
        <v>31</v>
      </c>
      <c r="G181" t="s">
        <v>32</v>
      </c>
      <c r="H181">
        <v>0</v>
      </c>
      <c r="I181">
        <v>1</v>
      </c>
      <c r="J181" t="s">
        <v>101</v>
      </c>
      <c r="K181" t="s">
        <v>314</v>
      </c>
      <c r="L181" t="s">
        <v>22</v>
      </c>
      <c r="M181">
        <v>4</v>
      </c>
    </row>
    <row r="182" spans="1:13" x14ac:dyDescent="0.25">
      <c r="A182" t="s">
        <v>13</v>
      </c>
      <c r="B182" t="s">
        <v>14</v>
      </c>
      <c r="C182" t="s">
        <v>307</v>
      </c>
      <c r="D182" t="s">
        <v>308</v>
      </c>
      <c r="E182" t="s">
        <v>309</v>
      </c>
      <c r="F182" t="s">
        <v>39</v>
      </c>
      <c r="G182" t="s">
        <v>40</v>
      </c>
      <c r="H182">
        <v>0</v>
      </c>
      <c r="I182">
        <v>1</v>
      </c>
      <c r="J182" t="s">
        <v>94</v>
      </c>
      <c r="K182" t="s">
        <v>310</v>
      </c>
      <c r="L182" t="s">
        <v>22</v>
      </c>
      <c r="M182">
        <v>44</v>
      </c>
    </row>
    <row r="183" spans="1:13" x14ac:dyDescent="0.25">
      <c r="A183" t="s">
        <v>13</v>
      </c>
      <c r="B183" t="s">
        <v>14</v>
      </c>
      <c r="C183" t="s">
        <v>307</v>
      </c>
      <c r="D183" t="s">
        <v>308</v>
      </c>
      <c r="E183" t="s">
        <v>309</v>
      </c>
      <c r="F183" t="s">
        <v>45</v>
      </c>
      <c r="G183" t="s">
        <v>46</v>
      </c>
      <c r="H183">
        <v>0</v>
      </c>
      <c r="I183">
        <v>1</v>
      </c>
      <c r="J183" t="s">
        <v>94</v>
      </c>
      <c r="K183" t="s">
        <v>310</v>
      </c>
      <c r="L183" t="s">
        <v>22</v>
      </c>
      <c r="M183">
        <v>44</v>
      </c>
    </row>
    <row r="184" spans="1:13" x14ac:dyDescent="0.25">
      <c r="A184" t="s">
        <v>13</v>
      </c>
      <c r="B184" t="s">
        <v>14</v>
      </c>
      <c r="C184" t="s">
        <v>307</v>
      </c>
      <c r="D184" t="s">
        <v>308</v>
      </c>
      <c r="E184" t="s">
        <v>309</v>
      </c>
      <c r="F184" t="s">
        <v>53</v>
      </c>
      <c r="G184" t="s">
        <v>54</v>
      </c>
      <c r="H184">
        <v>5</v>
      </c>
      <c r="I184">
        <v>0</v>
      </c>
      <c r="J184" t="s">
        <v>94</v>
      </c>
      <c r="K184" t="s">
        <v>310</v>
      </c>
      <c r="L184" t="s">
        <v>22</v>
      </c>
      <c r="M184">
        <v>44</v>
      </c>
    </row>
    <row r="185" spans="1:13" x14ac:dyDescent="0.25">
      <c r="A185" t="s">
        <v>13</v>
      </c>
      <c r="B185" t="s">
        <v>14</v>
      </c>
      <c r="C185" t="s">
        <v>307</v>
      </c>
      <c r="D185" t="s">
        <v>308</v>
      </c>
      <c r="E185" t="s">
        <v>309</v>
      </c>
      <c r="F185" t="s">
        <v>59</v>
      </c>
      <c r="G185" t="s">
        <v>60</v>
      </c>
      <c r="H185">
        <v>0</v>
      </c>
      <c r="I185">
        <v>1</v>
      </c>
      <c r="J185" t="s">
        <v>94</v>
      </c>
      <c r="K185" t="s">
        <v>310</v>
      </c>
      <c r="L185" t="s">
        <v>22</v>
      </c>
      <c r="M185">
        <v>44</v>
      </c>
    </row>
    <row r="186" spans="1:13" x14ac:dyDescent="0.25">
      <c r="A186" t="s">
        <v>13</v>
      </c>
      <c r="B186" t="s">
        <v>14</v>
      </c>
      <c r="C186" t="s">
        <v>307</v>
      </c>
      <c r="D186" t="s">
        <v>308</v>
      </c>
      <c r="E186" t="s">
        <v>309</v>
      </c>
      <c r="F186" t="s">
        <v>69</v>
      </c>
      <c r="G186" t="s">
        <v>70</v>
      </c>
      <c r="H186">
        <v>4</v>
      </c>
      <c r="I186">
        <v>0</v>
      </c>
      <c r="J186" t="s">
        <v>94</v>
      </c>
      <c r="K186" t="s">
        <v>310</v>
      </c>
      <c r="L186" t="s">
        <v>22</v>
      </c>
      <c r="M186">
        <v>44</v>
      </c>
    </row>
    <row r="187" spans="1:13" x14ac:dyDescent="0.25">
      <c r="A187" t="s">
        <v>13</v>
      </c>
      <c r="B187" t="s">
        <v>14</v>
      </c>
      <c r="C187" t="s">
        <v>307</v>
      </c>
      <c r="D187" t="s">
        <v>308</v>
      </c>
      <c r="E187" t="s">
        <v>309</v>
      </c>
      <c r="F187" t="s">
        <v>71</v>
      </c>
      <c r="G187" t="s">
        <v>72</v>
      </c>
      <c r="H187">
        <v>5</v>
      </c>
      <c r="I187">
        <v>0</v>
      </c>
      <c r="J187" t="s">
        <v>94</v>
      </c>
      <c r="K187" t="s">
        <v>310</v>
      </c>
      <c r="L187" t="s">
        <v>22</v>
      </c>
      <c r="M187">
        <v>44</v>
      </c>
    </row>
    <row r="188" spans="1:13" x14ac:dyDescent="0.25">
      <c r="A188" t="s">
        <v>13</v>
      </c>
      <c r="B188" t="s">
        <v>14</v>
      </c>
      <c r="C188" t="s">
        <v>303</v>
      </c>
      <c r="D188" t="s">
        <v>304</v>
      </c>
      <c r="E188" t="s">
        <v>305</v>
      </c>
      <c r="F188" t="s">
        <v>18</v>
      </c>
      <c r="G188" t="s">
        <v>19</v>
      </c>
      <c r="H188">
        <v>0</v>
      </c>
      <c r="I188">
        <v>1</v>
      </c>
      <c r="J188" t="s">
        <v>101</v>
      </c>
      <c r="K188" t="s">
        <v>306</v>
      </c>
      <c r="L188" t="s">
        <v>22</v>
      </c>
      <c r="M188">
        <v>45</v>
      </c>
    </row>
    <row r="189" spans="1:13" x14ac:dyDescent="0.25">
      <c r="A189" t="s">
        <v>13</v>
      </c>
      <c r="B189" t="s">
        <v>14</v>
      </c>
      <c r="C189" t="s">
        <v>303</v>
      </c>
      <c r="D189" t="s">
        <v>304</v>
      </c>
      <c r="E189" t="s">
        <v>305</v>
      </c>
      <c r="F189" t="s">
        <v>39</v>
      </c>
      <c r="G189" t="s">
        <v>40</v>
      </c>
      <c r="H189">
        <v>5</v>
      </c>
      <c r="I189">
        <v>0</v>
      </c>
      <c r="J189" t="s">
        <v>101</v>
      </c>
      <c r="K189" t="s">
        <v>306</v>
      </c>
      <c r="L189" t="s">
        <v>22</v>
      </c>
      <c r="M189">
        <v>45</v>
      </c>
    </row>
    <row r="190" spans="1:13" x14ac:dyDescent="0.25">
      <c r="A190" t="s">
        <v>13</v>
      </c>
      <c r="B190" t="s">
        <v>14</v>
      </c>
      <c r="C190" t="s">
        <v>303</v>
      </c>
      <c r="D190" t="s">
        <v>304</v>
      </c>
      <c r="E190" t="s">
        <v>305</v>
      </c>
      <c r="F190" t="s">
        <v>45</v>
      </c>
      <c r="G190" t="s">
        <v>46</v>
      </c>
      <c r="H190">
        <v>0</v>
      </c>
      <c r="I190">
        <v>6</v>
      </c>
      <c r="J190" t="s">
        <v>101</v>
      </c>
      <c r="K190" t="s">
        <v>306</v>
      </c>
      <c r="L190" t="s">
        <v>22</v>
      </c>
      <c r="M190">
        <v>45</v>
      </c>
    </row>
    <row r="191" spans="1:13" x14ac:dyDescent="0.25">
      <c r="A191" t="s">
        <v>13</v>
      </c>
      <c r="B191" t="s">
        <v>14</v>
      </c>
      <c r="C191" t="s">
        <v>303</v>
      </c>
      <c r="D191" t="s">
        <v>304</v>
      </c>
      <c r="E191" t="s">
        <v>305</v>
      </c>
      <c r="F191" t="s">
        <v>49</v>
      </c>
      <c r="G191" t="s">
        <v>50</v>
      </c>
      <c r="H191">
        <v>5</v>
      </c>
      <c r="I191">
        <v>0</v>
      </c>
      <c r="J191" t="s">
        <v>101</v>
      </c>
      <c r="K191" t="s">
        <v>306</v>
      </c>
      <c r="L191" t="s">
        <v>22</v>
      </c>
      <c r="M191">
        <v>45</v>
      </c>
    </row>
    <row r="192" spans="1:13" x14ac:dyDescent="0.25">
      <c r="A192" t="s">
        <v>13</v>
      </c>
      <c r="B192" t="s">
        <v>14</v>
      </c>
      <c r="C192" t="s">
        <v>303</v>
      </c>
      <c r="D192" t="s">
        <v>304</v>
      </c>
      <c r="E192" t="s">
        <v>305</v>
      </c>
      <c r="F192" t="s">
        <v>51</v>
      </c>
      <c r="G192" t="s">
        <v>52</v>
      </c>
      <c r="H192">
        <v>0</v>
      </c>
      <c r="I192">
        <v>7</v>
      </c>
      <c r="J192" t="s">
        <v>101</v>
      </c>
      <c r="K192" t="s">
        <v>306</v>
      </c>
      <c r="L192" t="s">
        <v>22</v>
      </c>
      <c r="M192">
        <v>45</v>
      </c>
    </row>
    <row r="193" spans="1:13" x14ac:dyDescent="0.25">
      <c r="A193" t="s">
        <v>13</v>
      </c>
      <c r="B193" t="s">
        <v>14</v>
      </c>
      <c r="C193" t="s">
        <v>303</v>
      </c>
      <c r="D193" t="s">
        <v>304</v>
      </c>
      <c r="E193" t="s">
        <v>305</v>
      </c>
      <c r="F193" t="s">
        <v>59</v>
      </c>
      <c r="G193" t="s">
        <v>60</v>
      </c>
      <c r="H193">
        <v>0</v>
      </c>
      <c r="I193">
        <v>3</v>
      </c>
      <c r="J193" t="s">
        <v>101</v>
      </c>
      <c r="K193" t="s">
        <v>306</v>
      </c>
      <c r="L193" t="s">
        <v>22</v>
      </c>
      <c r="M193">
        <v>45</v>
      </c>
    </row>
    <row r="194" spans="1:13" x14ac:dyDescent="0.25">
      <c r="A194" t="s">
        <v>13</v>
      </c>
      <c r="B194" t="s">
        <v>14</v>
      </c>
      <c r="C194" t="s">
        <v>303</v>
      </c>
      <c r="D194" t="s">
        <v>304</v>
      </c>
      <c r="E194" t="s">
        <v>305</v>
      </c>
      <c r="F194" t="s">
        <v>25</v>
      </c>
      <c r="G194" t="s">
        <v>26</v>
      </c>
      <c r="H194">
        <v>5</v>
      </c>
      <c r="I194">
        <v>0</v>
      </c>
      <c r="J194" t="s">
        <v>101</v>
      </c>
      <c r="K194" t="s">
        <v>306</v>
      </c>
      <c r="L194" t="s">
        <v>22</v>
      </c>
      <c r="M194">
        <v>45</v>
      </c>
    </row>
    <row r="195" spans="1:13" x14ac:dyDescent="0.25">
      <c r="A195" t="s">
        <v>13</v>
      </c>
      <c r="B195" t="s">
        <v>14</v>
      </c>
      <c r="C195" t="s">
        <v>303</v>
      </c>
      <c r="D195" t="s">
        <v>304</v>
      </c>
      <c r="E195" t="s">
        <v>305</v>
      </c>
      <c r="F195" t="s">
        <v>27</v>
      </c>
      <c r="G195" t="s">
        <v>28</v>
      </c>
      <c r="H195">
        <v>5</v>
      </c>
      <c r="I195">
        <v>0</v>
      </c>
      <c r="J195" t="s">
        <v>101</v>
      </c>
      <c r="K195" t="s">
        <v>306</v>
      </c>
      <c r="L195" t="s">
        <v>22</v>
      </c>
      <c r="M195">
        <v>45</v>
      </c>
    </row>
    <row r="196" spans="1:13" x14ac:dyDescent="0.25">
      <c r="A196" t="s">
        <v>13</v>
      </c>
      <c r="B196" t="s">
        <v>14</v>
      </c>
      <c r="C196" t="s">
        <v>303</v>
      </c>
      <c r="D196" t="s">
        <v>304</v>
      </c>
      <c r="E196" t="s">
        <v>305</v>
      </c>
      <c r="F196" t="s">
        <v>65</v>
      </c>
      <c r="G196" t="s">
        <v>66</v>
      </c>
      <c r="H196">
        <v>0</v>
      </c>
      <c r="I196">
        <v>4</v>
      </c>
      <c r="J196" t="s">
        <v>101</v>
      </c>
      <c r="K196" t="s">
        <v>306</v>
      </c>
      <c r="L196" t="s">
        <v>22</v>
      </c>
      <c r="M196">
        <v>45</v>
      </c>
    </row>
    <row r="197" spans="1:13" x14ac:dyDescent="0.25">
      <c r="A197" t="s">
        <v>13</v>
      </c>
      <c r="B197" t="s">
        <v>14</v>
      </c>
      <c r="C197" t="s">
        <v>303</v>
      </c>
      <c r="D197" t="s">
        <v>304</v>
      </c>
      <c r="E197" t="s">
        <v>305</v>
      </c>
      <c r="F197" t="s">
        <v>67</v>
      </c>
      <c r="G197" t="s">
        <v>68</v>
      </c>
      <c r="H197">
        <v>4</v>
      </c>
      <c r="I197">
        <v>0</v>
      </c>
      <c r="J197" t="s">
        <v>101</v>
      </c>
      <c r="K197" t="s">
        <v>306</v>
      </c>
      <c r="L197" t="s">
        <v>22</v>
      </c>
      <c r="M197">
        <v>45</v>
      </c>
    </row>
    <row r="198" spans="1:13" x14ac:dyDescent="0.25">
      <c r="A198" t="s">
        <v>13</v>
      </c>
      <c r="B198" t="s">
        <v>14</v>
      </c>
      <c r="C198" t="s">
        <v>303</v>
      </c>
      <c r="D198" t="s">
        <v>304</v>
      </c>
      <c r="E198" t="s">
        <v>305</v>
      </c>
      <c r="F198" t="s">
        <v>29</v>
      </c>
      <c r="G198" t="s">
        <v>30</v>
      </c>
      <c r="H198">
        <v>5</v>
      </c>
      <c r="I198">
        <v>0</v>
      </c>
      <c r="J198" t="s">
        <v>101</v>
      </c>
      <c r="K198" t="s">
        <v>306</v>
      </c>
      <c r="L198" t="s">
        <v>22</v>
      </c>
      <c r="M198">
        <v>45</v>
      </c>
    </row>
    <row r="199" spans="1:13" x14ac:dyDescent="0.25">
      <c r="A199" t="s">
        <v>13</v>
      </c>
      <c r="B199" t="s">
        <v>14</v>
      </c>
      <c r="C199" t="s">
        <v>303</v>
      </c>
      <c r="D199" t="s">
        <v>304</v>
      </c>
      <c r="E199" t="s">
        <v>305</v>
      </c>
      <c r="F199" t="s">
        <v>69</v>
      </c>
      <c r="G199" t="s">
        <v>70</v>
      </c>
      <c r="H199">
        <v>4</v>
      </c>
      <c r="I199">
        <v>0</v>
      </c>
      <c r="J199" t="s">
        <v>101</v>
      </c>
      <c r="K199" t="s">
        <v>306</v>
      </c>
      <c r="L199" t="s">
        <v>22</v>
      </c>
      <c r="M199">
        <v>45</v>
      </c>
    </row>
    <row r="200" spans="1:13" x14ac:dyDescent="0.25">
      <c r="A200" t="s">
        <v>13</v>
      </c>
      <c r="B200" t="s">
        <v>14</v>
      </c>
      <c r="C200" t="s">
        <v>303</v>
      </c>
      <c r="D200" t="s">
        <v>304</v>
      </c>
      <c r="E200" t="s">
        <v>305</v>
      </c>
      <c r="F200" t="s">
        <v>71</v>
      </c>
      <c r="G200" t="s">
        <v>72</v>
      </c>
      <c r="H200">
        <v>5</v>
      </c>
      <c r="I200">
        <v>0</v>
      </c>
      <c r="J200" t="s">
        <v>101</v>
      </c>
      <c r="K200" t="s">
        <v>306</v>
      </c>
      <c r="L200" t="s">
        <v>22</v>
      </c>
      <c r="M200">
        <v>45</v>
      </c>
    </row>
    <row r="201" spans="1:13" x14ac:dyDescent="0.25">
      <c r="A201" t="s">
        <v>173</v>
      </c>
      <c r="B201" t="s">
        <v>174</v>
      </c>
      <c r="C201" t="s">
        <v>299</v>
      </c>
      <c r="D201" t="s">
        <v>300</v>
      </c>
      <c r="E201" t="s">
        <v>301</v>
      </c>
      <c r="F201" t="s">
        <v>43</v>
      </c>
      <c r="G201" t="s">
        <v>44</v>
      </c>
      <c r="H201">
        <v>5</v>
      </c>
      <c r="I201">
        <v>0</v>
      </c>
      <c r="J201" t="s">
        <v>94</v>
      </c>
      <c r="K201" t="s">
        <v>302</v>
      </c>
      <c r="L201" t="s">
        <v>22</v>
      </c>
      <c r="M201">
        <v>38</v>
      </c>
    </row>
    <row r="202" spans="1:13" x14ac:dyDescent="0.25">
      <c r="A202" t="s">
        <v>173</v>
      </c>
      <c r="B202" t="s">
        <v>174</v>
      </c>
      <c r="C202" t="s">
        <v>299</v>
      </c>
      <c r="D202" t="s">
        <v>300</v>
      </c>
      <c r="E202" t="s">
        <v>301</v>
      </c>
      <c r="F202" t="s">
        <v>51</v>
      </c>
      <c r="G202" t="s">
        <v>52</v>
      </c>
      <c r="H202">
        <v>0</v>
      </c>
      <c r="I202">
        <v>5</v>
      </c>
      <c r="J202" t="s">
        <v>94</v>
      </c>
      <c r="K202" t="s">
        <v>302</v>
      </c>
      <c r="L202" t="s">
        <v>22</v>
      </c>
      <c r="M202">
        <v>38</v>
      </c>
    </row>
    <row r="203" spans="1:13" x14ac:dyDescent="0.25">
      <c r="A203" t="s">
        <v>173</v>
      </c>
      <c r="B203" t="s">
        <v>174</v>
      </c>
      <c r="C203" t="s">
        <v>299</v>
      </c>
      <c r="D203" t="s">
        <v>300</v>
      </c>
      <c r="E203" t="s">
        <v>301</v>
      </c>
      <c r="F203" t="s">
        <v>53</v>
      </c>
      <c r="G203" t="s">
        <v>54</v>
      </c>
      <c r="H203">
        <v>5</v>
      </c>
      <c r="I203">
        <v>0</v>
      </c>
      <c r="J203" t="s">
        <v>94</v>
      </c>
      <c r="K203" t="s">
        <v>302</v>
      </c>
      <c r="L203" t="s">
        <v>22</v>
      </c>
      <c r="M203">
        <v>38</v>
      </c>
    </row>
    <row r="204" spans="1:13" x14ac:dyDescent="0.25">
      <c r="A204" t="s">
        <v>173</v>
      </c>
      <c r="B204" t="s">
        <v>174</v>
      </c>
      <c r="C204" t="s">
        <v>299</v>
      </c>
      <c r="D204" t="s">
        <v>300</v>
      </c>
      <c r="E204" t="s">
        <v>301</v>
      </c>
      <c r="F204" t="s">
        <v>81</v>
      </c>
      <c r="G204" t="s">
        <v>82</v>
      </c>
      <c r="H204">
        <v>0</v>
      </c>
      <c r="I204">
        <v>1</v>
      </c>
      <c r="J204" t="s">
        <v>94</v>
      </c>
      <c r="K204" t="s">
        <v>302</v>
      </c>
      <c r="L204" t="s">
        <v>22</v>
      </c>
      <c r="M204">
        <v>38</v>
      </c>
    </row>
    <row r="205" spans="1:13" x14ac:dyDescent="0.25">
      <c r="A205" t="s">
        <v>173</v>
      </c>
      <c r="B205" t="s">
        <v>174</v>
      </c>
      <c r="C205" t="s">
        <v>299</v>
      </c>
      <c r="D205" t="s">
        <v>300</v>
      </c>
      <c r="E205" t="s">
        <v>301</v>
      </c>
      <c r="F205" t="s">
        <v>57</v>
      </c>
      <c r="G205" t="s">
        <v>58</v>
      </c>
      <c r="H205">
        <v>6</v>
      </c>
      <c r="I205">
        <v>0</v>
      </c>
      <c r="J205" t="s">
        <v>94</v>
      </c>
      <c r="K205" t="s">
        <v>302</v>
      </c>
      <c r="L205" t="s">
        <v>22</v>
      </c>
      <c r="M205">
        <v>38</v>
      </c>
    </row>
    <row r="206" spans="1:13" x14ac:dyDescent="0.25">
      <c r="A206" t="s">
        <v>173</v>
      </c>
      <c r="B206" t="s">
        <v>174</v>
      </c>
      <c r="C206" t="s">
        <v>299</v>
      </c>
      <c r="D206" t="s">
        <v>300</v>
      </c>
      <c r="E206" t="s">
        <v>301</v>
      </c>
      <c r="F206" t="s">
        <v>59</v>
      </c>
      <c r="G206" t="s">
        <v>60</v>
      </c>
      <c r="H206">
        <v>0</v>
      </c>
      <c r="I206">
        <v>1</v>
      </c>
      <c r="J206" t="s">
        <v>94</v>
      </c>
      <c r="K206" t="s">
        <v>302</v>
      </c>
      <c r="L206" t="s">
        <v>22</v>
      </c>
      <c r="M206">
        <v>38</v>
      </c>
    </row>
    <row r="207" spans="1:13" x14ac:dyDescent="0.25">
      <c r="A207" t="s">
        <v>173</v>
      </c>
      <c r="B207" t="s">
        <v>174</v>
      </c>
      <c r="C207" t="s">
        <v>299</v>
      </c>
      <c r="D207" t="s">
        <v>300</v>
      </c>
      <c r="E207" t="s">
        <v>301</v>
      </c>
      <c r="F207" t="s">
        <v>63</v>
      </c>
      <c r="G207" t="s">
        <v>64</v>
      </c>
      <c r="H207">
        <v>0</v>
      </c>
      <c r="I207">
        <v>1</v>
      </c>
      <c r="J207" t="s">
        <v>94</v>
      </c>
      <c r="K207" t="s">
        <v>302</v>
      </c>
      <c r="L207" t="s">
        <v>22</v>
      </c>
      <c r="M207">
        <v>38</v>
      </c>
    </row>
    <row r="208" spans="1:13" x14ac:dyDescent="0.25">
      <c r="A208" t="s">
        <v>173</v>
      </c>
      <c r="B208" t="s">
        <v>174</v>
      </c>
      <c r="C208" t="s">
        <v>299</v>
      </c>
      <c r="D208" t="s">
        <v>300</v>
      </c>
      <c r="E208" t="s">
        <v>301</v>
      </c>
      <c r="F208" t="s">
        <v>65</v>
      </c>
      <c r="G208" t="s">
        <v>66</v>
      </c>
      <c r="H208">
        <v>0</v>
      </c>
      <c r="I208">
        <v>1</v>
      </c>
      <c r="J208" t="s">
        <v>94</v>
      </c>
      <c r="K208" t="s">
        <v>302</v>
      </c>
      <c r="L208" t="s">
        <v>22</v>
      </c>
      <c r="M208">
        <v>38</v>
      </c>
    </row>
    <row r="209" spans="1:13" x14ac:dyDescent="0.25">
      <c r="A209" t="s">
        <v>173</v>
      </c>
      <c r="B209" t="s">
        <v>174</v>
      </c>
      <c r="C209" t="s">
        <v>299</v>
      </c>
      <c r="D209" t="s">
        <v>300</v>
      </c>
      <c r="E209" t="s">
        <v>301</v>
      </c>
      <c r="F209" t="s">
        <v>67</v>
      </c>
      <c r="G209" t="s">
        <v>68</v>
      </c>
      <c r="H209">
        <v>0</v>
      </c>
      <c r="I209">
        <v>1</v>
      </c>
      <c r="J209" t="s">
        <v>94</v>
      </c>
      <c r="K209" t="s">
        <v>302</v>
      </c>
      <c r="L209" t="s">
        <v>22</v>
      </c>
      <c r="M209">
        <v>38</v>
      </c>
    </row>
    <row r="210" spans="1:13" x14ac:dyDescent="0.25">
      <c r="A210" t="s">
        <v>173</v>
      </c>
      <c r="B210" t="s">
        <v>174</v>
      </c>
      <c r="C210" t="s">
        <v>299</v>
      </c>
      <c r="D210" t="s">
        <v>300</v>
      </c>
      <c r="E210" t="s">
        <v>301</v>
      </c>
      <c r="F210" t="s">
        <v>71</v>
      </c>
      <c r="G210" t="s">
        <v>72</v>
      </c>
      <c r="H210">
        <v>0</v>
      </c>
      <c r="I210">
        <v>1</v>
      </c>
      <c r="J210" t="s">
        <v>94</v>
      </c>
      <c r="K210" t="s">
        <v>302</v>
      </c>
      <c r="L210" t="s">
        <v>22</v>
      </c>
      <c r="M210">
        <v>38</v>
      </c>
    </row>
    <row r="211" spans="1:13" x14ac:dyDescent="0.25">
      <c r="A211" t="s">
        <v>96</v>
      </c>
      <c r="B211" t="s">
        <v>97</v>
      </c>
      <c r="C211" t="s">
        <v>295</v>
      </c>
      <c r="D211" t="s">
        <v>296</v>
      </c>
      <c r="E211" t="s">
        <v>297</v>
      </c>
      <c r="F211" t="s">
        <v>39</v>
      </c>
      <c r="G211" t="s">
        <v>40</v>
      </c>
      <c r="H211">
        <v>0</v>
      </c>
      <c r="I211">
        <v>1</v>
      </c>
      <c r="J211" t="s">
        <v>101</v>
      </c>
      <c r="K211" t="s">
        <v>298</v>
      </c>
      <c r="L211" t="s">
        <v>22</v>
      </c>
      <c r="M211">
        <v>35</v>
      </c>
    </row>
    <row r="212" spans="1:13" x14ac:dyDescent="0.25">
      <c r="A212" t="s">
        <v>96</v>
      </c>
      <c r="B212" t="s">
        <v>97</v>
      </c>
      <c r="C212" t="s">
        <v>295</v>
      </c>
      <c r="D212" t="s">
        <v>296</v>
      </c>
      <c r="E212" t="s">
        <v>297</v>
      </c>
      <c r="F212" t="s">
        <v>45</v>
      </c>
      <c r="G212" t="s">
        <v>46</v>
      </c>
      <c r="H212">
        <v>0</v>
      </c>
      <c r="I212">
        <v>6</v>
      </c>
      <c r="J212" t="s">
        <v>101</v>
      </c>
      <c r="K212" t="s">
        <v>298</v>
      </c>
      <c r="L212" t="s">
        <v>22</v>
      </c>
      <c r="M212">
        <v>35</v>
      </c>
    </row>
    <row r="213" spans="1:13" x14ac:dyDescent="0.25">
      <c r="A213" t="s">
        <v>96</v>
      </c>
      <c r="B213" t="s">
        <v>97</v>
      </c>
      <c r="C213" t="s">
        <v>295</v>
      </c>
      <c r="D213" t="s">
        <v>296</v>
      </c>
      <c r="E213" t="s">
        <v>297</v>
      </c>
      <c r="F213" t="s">
        <v>47</v>
      </c>
      <c r="G213" t="s">
        <v>48</v>
      </c>
      <c r="H213">
        <v>0</v>
      </c>
      <c r="I213">
        <v>1</v>
      </c>
      <c r="J213" t="s">
        <v>101</v>
      </c>
      <c r="K213" t="s">
        <v>298</v>
      </c>
      <c r="L213" t="s">
        <v>22</v>
      </c>
      <c r="M213">
        <v>35</v>
      </c>
    </row>
    <row r="214" spans="1:13" x14ac:dyDescent="0.25">
      <c r="A214" t="s">
        <v>96</v>
      </c>
      <c r="B214" t="s">
        <v>97</v>
      </c>
      <c r="C214" t="s">
        <v>295</v>
      </c>
      <c r="D214" t="s">
        <v>296</v>
      </c>
      <c r="E214" t="s">
        <v>297</v>
      </c>
      <c r="F214" t="s">
        <v>23</v>
      </c>
      <c r="G214" t="s">
        <v>24</v>
      </c>
      <c r="H214">
        <v>0</v>
      </c>
      <c r="I214">
        <v>2</v>
      </c>
      <c r="J214" t="s">
        <v>101</v>
      </c>
      <c r="K214" t="s">
        <v>298</v>
      </c>
      <c r="L214" t="s">
        <v>22</v>
      </c>
      <c r="M214">
        <v>35</v>
      </c>
    </row>
    <row r="215" spans="1:13" x14ac:dyDescent="0.25">
      <c r="A215" t="s">
        <v>96</v>
      </c>
      <c r="B215" t="s">
        <v>97</v>
      </c>
      <c r="C215" t="s">
        <v>295</v>
      </c>
      <c r="D215" t="s">
        <v>296</v>
      </c>
      <c r="E215" t="s">
        <v>297</v>
      </c>
      <c r="F215" t="s">
        <v>51</v>
      </c>
      <c r="G215" t="s">
        <v>52</v>
      </c>
      <c r="H215">
        <v>0</v>
      </c>
      <c r="I215">
        <v>3</v>
      </c>
      <c r="J215" t="s">
        <v>101</v>
      </c>
      <c r="K215" t="s">
        <v>298</v>
      </c>
      <c r="L215" t="s">
        <v>22</v>
      </c>
      <c r="M215">
        <v>35</v>
      </c>
    </row>
    <row r="216" spans="1:13" x14ac:dyDescent="0.25">
      <c r="A216" t="s">
        <v>96</v>
      </c>
      <c r="B216" t="s">
        <v>97</v>
      </c>
      <c r="C216" t="s">
        <v>295</v>
      </c>
      <c r="D216" t="s">
        <v>296</v>
      </c>
      <c r="E216" t="s">
        <v>297</v>
      </c>
      <c r="F216" t="s">
        <v>59</v>
      </c>
      <c r="G216" t="s">
        <v>60</v>
      </c>
      <c r="H216">
        <v>0</v>
      </c>
      <c r="I216">
        <v>2</v>
      </c>
      <c r="J216" t="s">
        <v>101</v>
      </c>
      <c r="K216" t="s">
        <v>298</v>
      </c>
      <c r="L216" t="s">
        <v>22</v>
      </c>
      <c r="M216">
        <v>35</v>
      </c>
    </row>
    <row r="217" spans="1:13" x14ac:dyDescent="0.25">
      <c r="A217" t="s">
        <v>96</v>
      </c>
      <c r="B217" t="s">
        <v>97</v>
      </c>
      <c r="C217" t="s">
        <v>295</v>
      </c>
      <c r="D217" t="s">
        <v>296</v>
      </c>
      <c r="E217" t="s">
        <v>297</v>
      </c>
      <c r="F217" t="s">
        <v>61</v>
      </c>
      <c r="G217" t="s">
        <v>62</v>
      </c>
      <c r="H217">
        <v>0</v>
      </c>
      <c r="I217">
        <v>1</v>
      </c>
      <c r="J217" t="s">
        <v>101</v>
      </c>
      <c r="K217" t="s">
        <v>298</v>
      </c>
      <c r="L217" t="s">
        <v>22</v>
      </c>
      <c r="M217">
        <v>35</v>
      </c>
    </row>
    <row r="218" spans="1:13" x14ac:dyDescent="0.25">
      <c r="A218" t="s">
        <v>96</v>
      </c>
      <c r="B218" t="s">
        <v>97</v>
      </c>
      <c r="C218" t="s">
        <v>295</v>
      </c>
      <c r="D218" t="s">
        <v>296</v>
      </c>
      <c r="E218" t="s">
        <v>297</v>
      </c>
      <c r="F218" t="s">
        <v>25</v>
      </c>
      <c r="G218" t="s">
        <v>26</v>
      </c>
      <c r="H218">
        <v>0</v>
      </c>
      <c r="I218">
        <v>1</v>
      </c>
      <c r="J218" t="s">
        <v>101</v>
      </c>
      <c r="K218" t="s">
        <v>298</v>
      </c>
      <c r="L218" t="s">
        <v>22</v>
      </c>
      <c r="M218">
        <v>35</v>
      </c>
    </row>
    <row r="219" spans="1:13" x14ac:dyDescent="0.25">
      <c r="A219" t="s">
        <v>96</v>
      </c>
      <c r="B219" t="s">
        <v>97</v>
      </c>
      <c r="C219" t="s">
        <v>295</v>
      </c>
      <c r="D219" t="s">
        <v>296</v>
      </c>
      <c r="E219" t="s">
        <v>297</v>
      </c>
      <c r="F219" t="s">
        <v>65</v>
      </c>
      <c r="G219" t="s">
        <v>66</v>
      </c>
      <c r="H219">
        <v>0</v>
      </c>
      <c r="I219">
        <v>7</v>
      </c>
      <c r="J219" t="s">
        <v>101</v>
      </c>
      <c r="K219" t="s">
        <v>298</v>
      </c>
      <c r="L219" t="s">
        <v>22</v>
      </c>
      <c r="M219">
        <v>35</v>
      </c>
    </row>
    <row r="220" spans="1:13" x14ac:dyDescent="0.25">
      <c r="A220" t="s">
        <v>96</v>
      </c>
      <c r="B220" t="s">
        <v>97</v>
      </c>
      <c r="C220" t="s">
        <v>295</v>
      </c>
      <c r="D220" t="s">
        <v>296</v>
      </c>
      <c r="E220" t="s">
        <v>297</v>
      </c>
      <c r="F220" t="s">
        <v>29</v>
      </c>
      <c r="G220" t="s">
        <v>30</v>
      </c>
      <c r="H220">
        <v>0</v>
      </c>
      <c r="I220">
        <v>1</v>
      </c>
      <c r="J220" t="s">
        <v>101</v>
      </c>
      <c r="K220" t="s">
        <v>298</v>
      </c>
      <c r="L220" t="s">
        <v>22</v>
      </c>
      <c r="M220">
        <v>35</v>
      </c>
    </row>
    <row r="221" spans="1:13" x14ac:dyDescent="0.25">
      <c r="A221" t="s">
        <v>96</v>
      </c>
      <c r="B221" t="s">
        <v>97</v>
      </c>
      <c r="C221" t="s">
        <v>295</v>
      </c>
      <c r="D221" t="s">
        <v>296</v>
      </c>
      <c r="E221" t="s">
        <v>297</v>
      </c>
      <c r="F221" t="s">
        <v>69</v>
      </c>
      <c r="G221" t="s">
        <v>70</v>
      </c>
      <c r="H221">
        <v>2</v>
      </c>
      <c r="I221">
        <v>0</v>
      </c>
      <c r="J221" t="s">
        <v>101</v>
      </c>
      <c r="K221" t="s">
        <v>298</v>
      </c>
      <c r="L221" t="s">
        <v>22</v>
      </c>
      <c r="M221">
        <v>35</v>
      </c>
    </row>
    <row r="222" spans="1:13" x14ac:dyDescent="0.25">
      <c r="A222" t="s">
        <v>96</v>
      </c>
      <c r="B222" t="s">
        <v>97</v>
      </c>
      <c r="C222" t="s">
        <v>295</v>
      </c>
      <c r="D222" t="s">
        <v>296</v>
      </c>
      <c r="E222" t="s">
        <v>297</v>
      </c>
      <c r="F222" t="s">
        <v>71</v>
      </c>
      <c r="G222" t="s">
        <v>72</v>
      </c>
      <c r="H222">
        <v>0</v>
      </c>
      <c r="I222">
        <v>1</v>
      </c>
      <c r="J222" t="s">
        <v>101</v>
      </c>
      <c r="K222" t="s">
        <v>298</v>
      </c>
      <c r="L222" t="s">
        <v>22</v>
      </c>
      <c r="M22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Recipe2</vt:lpstr>
      <vt:lpstr>Hazırlık</vt:lpstr>
      <vt:lpstr>Sipariş Yazdır</vt:lpstr>
      <vt:lpstr>Recip1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 M</dc:creator>
  <cp:lastModifiedBy>D P M</cp:lastModifiedBy>
  <dcterms:created xsi:type="dcterms:W3CDTF">2025-11-08T13:39:27Z</dcterms:created>
  <dcterms:modified xsi:type="dcterms:W3CDTF">2025-11-08T13:51:47Z</dcterms:modified>
</cp:coreProperties>
</file>